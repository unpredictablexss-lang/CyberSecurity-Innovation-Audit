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1aae531b2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总览" sheetId="1" r:id="Rd5ca50a5b2604768"/>
    <x:sheet xmlns:r="http://schemas.openxmlformats.org/officeDocument/2006/relationships" name="候选明细" sheetId="2" r:id="R4c9b8d509c6a49bc"/>
    <x:sheet xmlns:r="http://schemas.openxmlformats.org/officeDocument/2006/relationships" name="样本与方法" sheetId="3" r:id="R4a009a63aa0e4344"/>
    <x:sheet xmlns:r="http://schemas.openxmlformats.org/officeDocument/2006/relationships" name="PoC索引" sheetId="4" r:id="Re20f4c3c27f4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sz val="10"/>
      <x:color rgb="FF1F2937"/>
      <x:name val="Microsoft YaHei"/>
    </x:font>
    <x:font>
      <x:b/>
      <x:sz val="15"/>
      <x:color rgb="FF17365D"/>
      <x:name val="Microsoft YaHei"/>
    </x:font>
    <x:font>
      <x:i/>
      <x:sz val="10"/>
      <x:color rgb="FF5B6573"/>
      <x:name val="Microsoft YaHei"/>
    </x:font>
    <x:font>
      <x:b/>
      <x:sz val="10"/>
      <x:color rgb="FFFFFFFF"/>
      <x:name val="Microsoft YaHei"/>
    </x:font>
    <x:font>
      <x:b/>
      <x:sz val="11"/>
      <x:color rgb="FF215E21"/>
      <x:name val="Microsoft YaHei"/>
    </x:font>
    <x:font>
      <x:u val="single"/>
      <x:sz val="10"/>
      <x:color rgb="FF0563C1"/>
      <x:name val="Microsoft YaHei"/>
    </x:font>
    <x:font>
      <x:sz val="11"/>
      <x:name val="Microsoft YaHei"/>
    </x:font>
    <x:font>
      <x:sz val="9"/>
      <x:color rgb="FF1F2937"/>
      <x:name val="Microsoft YaHei"/>
    </x:font>
    <x:font>
      <x:u val="single"/>
      <x:sz val="9"/>
      <x:color rgb="FF0563C1"/>
      <x:name val="Microsoft YaHei"/>
    </x:font>
    <x:font>
      <x:sz val="9"/>
      <x:name val="Microsoft YaHei"/>
    </x:font>
    <x:font>
      <x:b/>
      <x:sz val="11"/>
      <x:color rgb="FF17365D"/>
      <x:name val="Microsoft YaHei"/>
    </x:font>
    <x:font>
      <x:sz val="9"/>
      <x:color rgb="FF404040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4CCCC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</x:fills>
  <x:borders count="25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A6B7C8"/>
      </x:left>
      <x:right/>
      <x:top style="thin">
        <x:color rgb="FFA6B7C8"/>
      </x:top>
      <x:bottom/>
      <x:diagonal/>
    </x:border>
    <x:border>
      <x:left/>
      <x:right/>
      <x:top style="thin">
        <x:color rgb="FFA6B7C8"/>
      </x:top>
      <x:bottom/>
      <x:diagonal/>
    </x:border>
    <x:border>
      <x:left/>
      <x:right style="thin">
        <x:color rgb="FFA6B7C8"/>
      </x:right>
      <x:top style="thin">
        <x:color rgb="FFA6B7C8"/>
      </x:top>
      <x:bottom/>
      <x:diagonal/>
    </x:border>
    <x:border>
      <x:left style="thin">
        <x:color rgb="FFA6B7C8"/>
      </x:left>
      <x:right/>
      <x:top/>
      <x:bottom/>
      <x:diagonal/>
    </x:border>
    <x:border>
      <x:left/>
      <x:right style="thin">
        <x:color rgb="FFA6B7C8"/>
      </x:right>
      <x:top/>
      <x:bottom/>
      <x:diagonal/>
    </x:border>
    <x:border>
      <x:left style="thin">
        <x:color rgb="FFA6B7C8"/>
      </x:left>
      <x:right/>
      <x:top/>
      <x:bottom style="thin">
        <x:color rgb="FFA6B7C8"/>
      </x:bottom>
      <x:diagonal/>
    </x:border>
    <x:border>
      <x:left/>
      <x:right/>
      <x:top/>
      <x:bottom style="thin">
        <x:color rgb="FFA6B7C8"/>
      </x:bottom>
      <x:diagonal/>
    </x:border>
    <x:border>
      <x:left/>
      <x:right style="thin">
        <x:color rgb="FFA6B7C8"/>
      </x:right>
      <x:top/>
      <x:bottom style="thin">
        <x:color rgb="FFA6B7C8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/>
      <x:diagonal/>
    </x:border>
  </x:borders>
  <x:cellStyleXfs count="1">
    <x:xf numFmtId="0" fontId="0" fillId="0" borderId="0"/>
  </x:cellStyleXfs>
  <x:cellXfs count="2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 applyAlignment="1">
      <x:alignment horizontal="right"/>
    </x:xf>
    <x:xf numFmtId="0" fontId="0" fillId="3" borderId="7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5" xfId="0" applyNumberFormat="1" applyFont="1" applyFill="1" applyBorder="1"/>
    <x:xf numFmtId="0" fontId="6" fillId="0" borderId="7" xfId="0" applyNumberFormat="1" applyFont="1" applyFill="1" applyBorder="1"/>
    <x:xf numFmtId="0" fontId="6" fillId="0" borderId="3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horizontal="center"/>
    </x:xf>
    <x:xf numFmtId="0" fontId="6" fillId="0" borderId="7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1" xfId="0" applyNumberFormat="1" applyFont="1" applyFill="1" applyBorder="1"/>
    <x:xf numFmtId="0" fontId="1" fillId="8" borderId="12" xfId="0" applyNumberFormat="1" applyFont="1" applyFill="1" applyBorder="1"/>
    <x:xf numFmtId="0" fontId="1" fillId="8" borderId="13" xfId="0" applyNumberFormat="1" applyFont="1" applyFill="1" applyBorder="1"/>
    <x:xf numFmtId="0" fontId="1" fillId="8" borderId="14" xfId="0" applyNumberFormat="1" applyFont="1" applyFill="1" applyBorder="1"/>
    <x:xf numFmtId="0" fontId="1" fillId="8" borderId="15" xfId="0" applyNumberFormat="1" applyFont="1" applyFill="1" applyBorder="1"/>
    <x:xf numFmtId="0" fontId="1" fillId="8" borderId="16" xfId="0" applyNumberFormat="1" applyFont="1" applyFill="1" applyBorder="1"/>
    <x:xf numFmtId="0" fontId="1" fillId="8" borderId="17" xfId="0" applyNumberFormat="1" applyFont="1" applyFill="1" applyBorder="1"/>
    <x:xf numFmtId="0" fontId="1" fillId="8" borderId="18" xfId="0" applyNumberFormat="1" applyFont="1" applyFill="1" applyBorder="1"/>
    <x:xf numFmtId="0" fontId="1" fillId="8" borderId="11" xfId="0" applyNumberFormat="1" applyFont="1" applyFill="1" applyBorder="1" applyAlignment="1">
      <x:alignment wrapText="1"/>
    </x:xf>
    <x:xf numFmtId="0" fontId="1" fillId="8" borderId="12" xfId="0" applyNumberFormat="1" applyFont="1" applyFill="1" applyBorder="1" applyAlignment="1">
      <x:alignment wrapText="1"/>
    </x:xf>
    <x:xf numFmtId="0" fontId="1" fillId="8" borderId="13" xfId="0" applyNumberFormat="1" applyFont="1" applyFill="1" applyBorder="1" applyAlignment="1">
      <x:alignment wrapText="1"/>
    </x:xf>
    <x:xf numFmtId="0" fontId="1" fillId="8" borderId="14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15" xfId="0" applyNumberFormat="1" applyFont="1" applyFill="1" applyBorder="1" applyAlignment="1">
      <x:alignment wrapText="1"/>
    </x:xf>
    <x:xf numFmtId="0" fontId="1" fillId="8" borderId="16" xfId="0" applyNumberFormat="1" applyFont="1" applyFill="1" applyBorder="1" applyAlignment="1">
      <x:alignment wrapText="1"/>
    </x:xf>
    <x:xf numFmtId="0" fontId="1" fillId="8" borderId="17" xfId="0" applyNumberFormat="1" applyFont="1" applyFill="1" applyBorder="1" applyAlignment="1">
      <x:alignment wrapText="1"/>
    </x:xf>
    <x:xf numFmtId="0" fontId="1" fillId="8" borderId="18" xfId="0" applyNumberFormat="1" applyFont="1" applyFill="1" applyBorder="1" applyAlignment="1">
      <x:alignment wrapText="1"/>
    </x:xf>
    <x:xf numFmtId="0" fontId="1" fillId="8" borderId="11" xfId="0" applyNumberFormat="1" applyFont="1" applyFill="1" applyBorder="1" applyAlignment="1">
      <x:alignment vertical="top" wrapText="1"/>
    </x:xf>
    <x:xf numFmtId="0" fontId="1" fillId="8" borderId="12" xfId="0" applyNumberFormat="1" applyFont="1" applyFill="1" applyBorder="1" applyAlignment="1">
      <x:alignment vertical="top" wrapText="1"/>
    </x:xf>
    <x:xf numFmtId="0" fontId="1" fillId="8" borderId="13" xfId="0" applyNumberFormat="1" applyFont="1" applyFill="1" applyBorder="1" applyAlignment="1">
      <x:alignment vertical="top" wrapText="1"/>
    </x:xf>
    <x:xf numFmtId="0" fontId="1" fillId="8" borderId="14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5" xfId="0" applyNumberFormat="1" applyFont="1" applyFill="1" applyBorder="1" applyAlignment="1">
      <x:alignment vertical="top" wrapText="1"/>
    </x:xf>
    <x:xf numFmtId="0" fontId="1" fillId="8" borderId="16" xfId="0" applyNumberFormat="1" applyFont="1" applyFill="1" applyBorder="1" applyAlignment="1">
      <x:alignment vertical="top" wrapText="1"/>
    </x:xf>
    <x:xf numFmtId="0" fontId="1" fillId="8" borderId="17" xfId="0" applyNumberFormat="1" applyFont="1" applyFill="1" applyBorder="1" applyAlignment="1">
      <x:alignment vertical="top" wrapText="1"/>
    </x:xf>
    <x:xf numFmtId="0" fontId="1" fillId="8" borderId="1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 applyAlignment="1">
      <x:alignment horizontal="right"/>
    </x:xf>
    <x:xf numFmtId="0" fontId="7" fillId="0" borderId="8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 applyAlignment="1">
      <x:alignment horizontal="right"/>
    </x:xf>
    <x:xf numFmtId="0" fontId="7" fillId="0" borderId="9" xfId="0" applyNumberFormat="1" applyFont="1" applyFill="1" applyBorder="1"/>
    <x:xf numFmtId="200" fontId="7" fillId="0" borderId="5" xfId="0" applyNumberFormat="1" applyFont="1" applyFill="1" applyBorder="1" applyAlignment="1">
      <x:alignment horizontal="right"/>
    </x:xf>
    <x:xf numFmtId="0" fontId="7" fillId="0" borderId="6" xfId="0" applyNumberFormat="1" applyFont="1" applyFill="1" applyBorder="1"/>
    <x:xf numFmtId="0" fontId="7" fillId="0" borderId="10" xfId="0" applyNumberFormat="1" applyFont="1" applyFill="1" applyBorder="1"/>
    <x:xf numFmtId="200" fontId="7" fillId="0" borderId="7" xfId="0" applyNumberFormat="1" applyFont="1" applyFill="1" applyBorder="1" applyAlignment="1">
      <x:alignment horizontal="right"/>
    </x:xf>
    <x:xf numFmtId="0" fontId="7" fillId="3" borderId="2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horizontal="right" vertical="center"/>
    </x:xf>
    <x:xf numFmtId="0" fontId="7" fillId="0" borderId="8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horizontal="right" vertical="center"/>
    </x:xf>
    <x:xf numFmtId="0" fontId="7" fillId="0" borderId="9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horizontal="right"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horizontal="right" vertical="center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1" fillId="8" borderId="11" xfId="0" applyNumberFormat="1" applyFont="1" applyFill="1" applyBorder="1" applyAlignment="1">
      <x:alignment vertical="center" wrapText="1"/>
    </x:xf>
    <x:xf numFmtId="0" fontId="1" fillId="8" borderId="12" xfId="0" applyNumberFormat="1" applyFont="1" applyFill="1" applyBorder="1" applyAlignment="1">
      <x:alignment vertical="center" wrapText="1"/>
    </x:xf>
    <x:xf numFmtId="0" fontId="1" fillId="8" borderId="1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1" fillId="8" borderId="14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5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1" fillId="8" borderId="16" xfId="0" applyNumberFormat="1" applyFont="1" applyFill="1" applyBorder="1" applyAlignment="1">
      <x:alignment vertical="center" wrapText="1"/>
    </x:xf>
    <x:xf numFmtId="0" fontId="1" fillId="8" borderId="17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8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9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10" xfId="0" applyNumberFormat="1" applyFont="1" applyFill="1" applyBorder="1"/>
    <x:xf numFmtId="0" fontId="8" fillId="0" borderId="7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horizontal="center" vertical="top" wrapText="1"/>
    </x:xf>
    <x:xf numFmtId="0" fontId="8" fillId="0" borderId="9" xfId="0" applyNumberFormat="1" applyFont="1" applyFill="1" applyBorder="1" applyAlignment="1">
      <x:alignment horizontal="center" vertical="top" wrapText="1"/>
    </x:xf>
    <x:xf numFmtId="0" fontId="8" fillId="0" borderId="10" xfId="0" applyNumberFormat="1" applyFont="1" applyFill="1" applyBorder="1" applyAlignment="1">
      <x:alignment horizontal="center"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horizontal="center" vertical="top" wrapText="1"/>
    </x:xf>
    <x:xf numFmtId="0" fontId="9" fillId="0" borderId="5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horizontal="center" vertical="top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0" fontId="9" fillId="0" borderId="5" xfId="0" applyNumberFormat="1" applyFont="1" applyFill="1" applyBorder="1" applyAlignment="1">
      <x:alignment horizontal="center" vertical="center" wrapText="1"/>
    </x:xf>
    <x:xf numFmtId="0" fontId="9" fillId="0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top" wrapText="1"/>
    </x:xf>
    <x:xf numFmtId="0" fontId="8" fillId="4" borderId="8" xfId="0" applyNumberFormat="1" applyFont="1" applyFill="1" applyBorder="1" applyAlignment="1">
      <x:alignment horizontal="center" vertical="top" wrapText="1"/>
    </x:xf>
    <x:xf numFmtId="0" fontId="8" fillId="6" borderId="9" xfId="0" applyNumberFormat="1" applyFont="1" applyFill="1" applyBorder="1" applyAlignment="1">
      <x:alignment horizontal="center" vertical="top" wrapText="1"/>
    </x:xf>
    <x:xf numFmtId="0" fontId="8" fillId="4" borderId="9" xfId="0" applyNumberFormat="1" applyFont="1" applyFill="1" applyBorder="1" applyAlignment="1">
      <x:alignment horizontal="center" vertical="top" wrapText="1"/>
    </x:xf>
    <x:xf numFmtId="0" fontId="8" fillId="5" borderId="9" xfId="0" applyNumberFormat="1" applyFont="1" applyFill="1" applyBorder="1" applyAlignment="1">
      <x:alignment horizontal="center" vertical="top" wrapText="1"/>
    </x:xf>
    <x:xf numFmtId="0" fontId="8" fillId="6" borderId="1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0" fillId="0" borderId="10" xfId="0" applyNumberFormat="1" applyFont="1" applyFill="1" applyBorder="1"/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horizontal="center" vertical="center" wrapText="1"/>
    </x:xf>
    <x:xf numFmtId="0" fontId="10" fillId="0" borderId="9" xfId="0" applyNumberFormat="1" applyFont="1" applyFill="1" applyBorder="1" applyAlignment="1">
      <x:alignment horizontal="center" vertical="center" wrapText="1"/>
    </x:xf>
    <x:xf numFmtId="0" fontId="10" fillId="0" borderId="6" xfId="0" applyNumberFormat="1" applyFont="1" applyFill="1" applyBorder="1" applyAlignment="1">
      <x:alignment horizontal="center" vertical="center" wrapText="1"/>
    </x:xf>
    <x:xf numFmtId="0" fontId="10" fillId="0" borderId="10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horizontal="right" vertical="center" wrapText="1"/>
    </x:xf>
    <x:xf numFmtId="0" fontId="10" fillId="0" borderId="9" xfId="0" applyNumberFormat="1" applyFont="1" applyFill="1" applyBorder="1" applyAlignment="1">
      <x:alignment horizontal="right" vertical="center" wrapText="1"/>
    </x:xf>
    <x:xf numFmtId="0" fontId="10" fillId="0" borderId="10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9" xfId="0" applyNumberFormat="1" applyFont="1" applyFill="1" applyBorder="1"/>
    <x:xf numFmtId="0" fontId="5" fillId="3" borderId="20" xfId="0" applyNumberFormat="1" applyFont="1" applyFill="1" applyBorder="1"/>
    <x:xf numFmtId="0" fontId="5" fillId="3" borderId="21" xfId="0" applyNumberFormat="1" applyFont="1" applyFill="1" applyBorder="1"/>
    <x:xf numFmtId="0" fontId="5" fillId="3" borderId="19" xfId="0" applyNumberFormat="1" applyFont="1" applyFill="1" applyBorder="1" applyAlignment="1">
      <x:alignment wrapText="1"/>
    </x:xf>
    <x:xf numFmtId="0" fontId="5" fillId="3" borderId="20" xfId="0" applyNumberFormat="1" applyFont="1" applyFill="1" applyBorder="1" applyAlignment="1">
      <x:alignment wrapText="1"/>
    </x:xf>
    <x:xf numFmtId="0" fontId="5" fillId="3" borderId="21" xfId="0" applyNumberFormat="1" applyFont="1" applyFill="1" applyBorder="1" applyAlignment="1">
      <x:alignment wrapText="1"/>
    </x:xf>
    <x:xf numFmtId="0" fontId="5" fillId="3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horizontal="center" vertical="center" wrapText="1"/>
    </x:xf>
    <x:xf numFmtId="0" fontId="9" fillId="0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22" xfId="0" applyNumberFormat="1" applyFont="1" applyFill="1" applyBorder="1"/>
    <x:xf numFmtId="0" fontId="12" fillId="6" borderId="23" xfId="0" applyNumberFormat="1" applyFont="1" applyFill="1" applyBorder="1"/>
    <x:xf numFmtId="0" fontId="12" fillId="6" borderId="24" xfId="0" applyNumberFormat="1" applyFont="1" applyFill="1" applyBorder="1"/>
    <x:xf numFmtId="0" fontId="12" fillId="6" borderId="22" xfId="0" applyNumberFormat="1" applyFont="1" applyFill="1" applyBorder="1" applyAlignment="1">
      <x:alignment wrapText="1"/>
    </x:xf>
    <x:xf numFmtId="0" fontId="12" fillId="6" borderId="23" xfId="0" applyNumberFormat="1" applyFont="1" applyFill="1" applyBorder="1" applyAlignment="1">
      <x:alignment wrapText="1"/>
    </x:xf>
    <x:xf numFmtId="0" fontId="12" fillId="6" borderId="24" xfId="0" applyNumberFormat="1" applyFont="1" applyFill="1" applyBorder="1" applyAlignment="1">
      <x:alignment wrapText="1"/>
    </x:xf>
    <x:xf numFmtId="0" fontId="12" fillId="6" borderId="22" xfId="0" applyNumberFormat="1" applyFont="1" applyFill="1" applyBorder="1" applyAlignment="1">
      <x:alignment vertical="center" wrapText="1"/>
    </x:xf>
    <x:xf numFmtId="0" fontId="12" fillId="6" borderId="23" xfId="0" applyNumberFormat="1" applyFont="1" applyFill="1" applyBorder="1" applyAlignment="1">
      <x:alignment vertical="center" wrapText="1"/>
    </x:xf>
    <x:xf numFmtId="0" fontId="12" fillId="6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efb06b7e44db0" /><Relationship Type="http://schemas.openxmlformats.org/officeDocument/2006/relationships/theme" Target="/xl/theme/theme1.xml" Id="R1628e0a2e723464c" /><Relationship Type="http://schemas.openxmlformats.org/officeDocument/2006/relationships/sharedStrings" Target="/xl/sharedStrings.xml" Id="Rd544ddbe104b440f" /><Relationship Type="http://schemas.openxmlformats.org/officeDocument/2006/relationships/worksheet" Target="/xl/worksheets/sheet1.xml" Id="Rd5ca50a5b2604768" /><Relationship Type="http://schemas.openxmlformats.org/officeDocument/2006/relationships/worksheet" Target="/xl/worksheets/sheet2.xml" Id="R4c9b8d509c6a49bc" /><Relationship Type="http://schemas.openxmlformats.org/officeDocument/2006/relationships/worksheet" Target="/xl/worksheets/sheet3.xml" Id="R4a009a63aa0e4344" /><Relationship Type="http://schemas.openxmlformats.org/officeDocument/2006/relationships/worksheet" Target="/xl/worksheets/sheet4.xml" Id="Re20f4c3c27f44943" /></Relationships>
</file>

<file path=xl/tables/table1.xml><?xml version="1.0" encoding="utf-8"?>
<x:table xmlns:x="http://schemas.openxmlformats.org/spreadsheetml/2006/main" id="1" name="CandidateReviewTable" displayName="CandidateReviewTable" ref="A5:I350" headerRowCount="1" totalsRowCount="0" totalsRowShown="0">
  <x:autoFilter ref="A5:I350"/>
  <x:tableColumns count="9">
    <x:tableColumn id="1" name="库/仓库"/>
    <x:tableColumn id="2" name="扫描器"/>
    <x:tableColumn id="3" name="高危候选"/>
    <x:tableColumn id="4" name="规则/CWE"/>
    <x:tableColumn id="5" name="文件/行"/>
    <x:tableColumn id="6" name="AI 沙箱测试结果"/>
    <x:tableColumn id="7" name="最终状态"/>
    <x:tableColumn id="8" name="剩余证明义务"/>
    <x:tableColumn id="9" name="Po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ManifestTable" displayName="SampleManifestTable" ref="A13:J43" headerRowCount="1" totalsRowCount="0" totalsRowShown="0">
  <x:autoFilter ref="A13:J43"/>
  <x:tableColumns count="10">
    <x:tableColumn id="1" name="序号"/>
    <x:tableColumn id="2" name="分层"/>
    <x:tableColumn id="3" name="库"/>
    <x:tableColumn id="4" name="仓库"/>
    <x:tableColumn id="5" name="commit"/>
    <x:tableColumn id="6" name="snapshot SHA-256"/>
    <x:tableColumn id="7" name="诊断数"/>
    <x:tableColumn id="8" name="高优先级"/>
    <x:tableColumn id="9" name="普通优先级"/>
    <x:tableColumn id="10" name="结果 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cIndexTable" displayName="PocIndexTable" ref="A9:I10" headerRowCount="1" totalsRowCount="0" totalsRowShown="0">
  <x:autoFilter ref="A9:I10"/>
  <x:tableColumns count="9">
    <x:tableColumn id="1" name="finding-id"/>
    <x:tableColumn id="2" name="漏洞摘要"/>
    <x:tableColumn id="3" name="CIA 影响"/>
    <x:tableColumn id="4" name="状态"/>
    <x:tableColumn id="5" name="PoC 路径"/>
    <x:tableColumn id="6" name="3 次攻击重放"/>
    <x:tableColumn id="7" name="固定对照"/>
    <x:tableColumn id="8" name="安全对照"/>
    <x:tableColumn id="9" name="补丁重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a71f5a474745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eaef81dd8b4d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f8f38751c0475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34" hidden="0" customWidth="1"/>
    <x:col min="5" max="5" width="14" hidden="0" customWidth="1"/>
    <x:col min="6" max="6" width="3" hidden="0" customWidth="1"/>
    <x:col min="7" max="7" width="22" hidden="0" customWidth="1"/>
    <x:col min="8" max="8" width="12" hidden="0" customWidth="1"/>
    <x:col min="9" max="9" width="18" hidden="0" customWidth="1"/>
  </x:cols>
  <x:sheetData>
    <x:row r="1" ht="28" customHeight="1">
      <x:c r="A1" s="3" t="str">
        <x:v>OpenHarmony A 线 30 份报告抽查与沙箱验证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6" t="str">
        <x:v>低认知负担结论视图。所有“高危”均表示风险验证优先级，不表示扫描器已确认高危漏洞。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118"/>
      <x:c r="B3" s="118"/>
      <x:c r="C3" s="118"/>
      <x:c r="D3" s="118"/>
      <x:c r="E3" s="118"/>
      <x:c r="F3" s="118"/>
      <x:c r="G3" s="118"/>
      <x:c r="H3" s="118"/>
      <x:c r="I3" s="118"/>
    </x:row>
    <x:row r="4">
      <x:c r="A4" s="12" t="str">
        <x:v>核心指标</x:v>
      </x:c>
      <x:c r="B4" s="12" t="str">
        <x:v>结果</x:v>
      </x:c>
      <x:c r="C4" s="118"/>
      <x:c r="D4" s="12" t="str">
        <x:v>候选验证结果</x:v>
      </x:c>
      <x:c r="E4" s="12" t="str">
        <x:v>数量</x:v>
      </x:c>
      <x:c r="F4" s="118"/>
      <x:c r="G4" s="12" t="str">
        <x:v>证据与交付入口</x:v>
      </x:c>
      <x:c r="H4" s="12"/>
      <x:c r="I4" s="12"/>
    </x:row>
    <x:row r="5">
      <x:c r="A5" s="119" t="str">
        <x:v>有效总体报告</x:v>
      </x:c>
      <x:c r="B5" s="120" t="n">
        <x:v>378</x:v>
      </x:c>
      <x:c r="C5" s="118"/>
      <x:c r="D5" s="119" t="str">
        <x:v>高优先级候选</x:v>
      </x:c>
      <x:c r="E5" s="120" t="n">
        <x:f>COUNTIF('候选明细'!$C$6:$C$350,"高优先级")</x:f>
        <x:v>283</x:v>
      </x:c>
      <x:c r="F5" s="118"/>
      <x:c r="G5" s="119" t="str">
        <x:v>样本清单</x:v>
      </x:c>
      <x:c r="H5" s="121"/>
      <x:c r="I5" s="37" t="str">
        <x:f>IFERROR(HYPERLINK("file:///D:/openHarmonyScanner/outputs/01a14d00-bc78-7ac2-9520-210d4b92b1ac/evidence/sample_manifest.json","打开 JSON"),"打开 JSON")</x:f>
        <x:v>打开 JSON</x:v>
      </x:c>
    </x:row>
    <x:row r="6">
      <x:c r="A6" s="122" t="str">
        <x:v>抽样报告</x:v>
      </x:c>
      <x:c r="B6" s="123" t="n">
        <x:v>30</x:v>
      </x:c>
      <x:c r="C6" s="118"/>
      <x:c r="D6" s="122" t="str">
        <x:v>普通优先级候选</x:v>
      </x:c>
      <x:c r="E6" s="123" t="n">
        <x:f>COUNTIF('候选明细'!$C$6:$C$350,"普通优先级")</x:f>
        <x:v>62</x:v>
      </x:c>
      <x:c r="F6" s="118"/>
      <x:c r="G6" s="122" t="str">
        <x:v>逐条判定</x:v>
      </x:c>
      <x:c r="H6" s="124"/>
      <x:c r="I6" s="38" t="str">
        <x:f>IFERROR(HYPERLINK("file:///D:/openHarmonyScanner/outputs/01a14d00-bc78-7ac2-9520-210d4b92b1ac/evidence/candidate_reviews.json","打开 JSON"),"打开 JSON")</x:f>
        <x:v>打开 JSON</x:v>
      </x:c>
    </x:row>
    <x:row r="7">
      <x:c r="A7" s="122" t="str">
        <x:v>有候选样本</x:v>
      </x:c>
      <x:c r="B7" s="123" t="n">
        <x:v>20</x:v>
      </x:c>
      <x:c r="C7" s="118"/>
      <x:c r="D7" s="122" t="str">
        <x:v>confirmed</x:v>
      </x:c>
      <x:c r="E7" s="125" t="n">
        <x:f>COUNTIF('候选明细'!$G$6:$G$350,"confirmed")</x:f>
        <x:v>0</x:v>
      </x:c>
      <x:c r="F7" s="118"/>
      <x:c r="G7" s="122" t="str">
        <x:v>沙箱日志</x:v>
      </x:c>
      <x:c r="H7" s="124"/>
      <x:c r="I7" s="38" t="str">
        <x:f>IFERROR(HYPERLINK("file:///D:/openHarmonyScanner/outputs/01a14d00-bc78-7ac2-9520-210d4b92b1ac/evidence/sandbox/sandbox_results.json","打开日志索引"),"打开日志索引")</x:f>
        <x:v>打开日志索引</x:v>
      </x:c>
    </x:row>
    <x:row r="8">
      <x:c r="A8" s="122" t="str">
        <x:v>零候选样本</x:v>
      </x:c>
      <x:c r="B8" s="123" t="n">
        <x:v>10</x:v>
      </x:c>
      <x:c r="C8" s="118"/>
      <x:c r="D8" s="122" t="str">
        <x:v>dynamic_reproduced_unconfirmed</x:v>
      </x:c>
      <x:c r="E8" s="125" t="n">
        <x:f>COUNTIF('候选明细'!$G$6:$G$350,"dynamic_reproduced_unconfirmed")</x:f>
        <x:v>0</x:v>
      </x:c>
      <x:c r="F8" s="118"/>
      <x:c r="G8" s="122" t="str">
        <x:v>技术报告 PDF</x:v>
      </x:c>
      <x:c r="H8" s="124"/>
      <x:c r="I8" s="38" t="str">
        <x:f>IFERROR(HYPERLINK("file:///D:/openHarmonyScanner/outputs/01a14d00-bc78-7ac2-9520-210d4b92b1ac/report/technical-report.pdf","打开 PDF"),"打开 PDF")</x:f>
        <x:v>打开 PDF</x:v>
      </x:c>
    </x:row>
    <x:row r="9">
      <x:c r="A9" s="122" t="str">
        <x:v>抽样候选</x:v>
      </x:c>
      <x:c r="B9" s="123" t="n">
        <x:f>COUNTA('候选明细'!$A$6:$A$350)</x:f>
        <x:v>345</x:v>
      </x:c>
      <x:c r="C9" s="118"/>
      <x:c r="D9" s="122" t="str">
        <x:v>not_reproduced</x:v>
      </x:c>
      <x:c r="E9" s="125" t="n">
        <x:f>COUNTIF('候选明细'!$G$6:$G$350,"not_reproduced")</x:f>
        <x:v>9</x:v>
      </x:c>
      <x:c r="F9" s="118"/>
      <x:c r="G9" s="126" t="str">
        <x:v>PoC 索引</x:v>
      </x:c>
      <x:c r="H9" s="127"/>
      <x:c r="I9" s="39" t="str">
        <x:f>IFERROR(HYPERLINK("file:///D:/openHarmonyScanner/outputs/01a14d00-bc78-7ac2-9520-210d4b92b1ac/poc/index.json","打开索引"),"打开索引")</x:f>
        <x:v>打开索引</x:v>
      </x:c>
    </x:row>
    <x:row r="10">
      <x:c r="A10" s="126" t="str">
        <x:v>最终结论</x:v>
      </x:c>
      <x:c r="B10" s="24" t="str">
        <x:v>0 个确认漏洞；0 个专用 PoC</x:v>
      </x:c>
      <x:c r="C10" s="118"/>
      <x:c r="D10" s="126" t="str">
        <x:v>not_testable</x:v>
      </x:c>
      <x:c r="E10" s="128" t="n">
        <x:f>COUNTIF('候选明细'!$G$6:$G$350,"not_testable")</x:f>
        <x:v>336</x:v>
      </x:c>
      <x:c r="F10" s="118"/>
      <x:c r="G10" s="118"/>
      <x:c r="H10" s="118"/>
      <x:c r="I10" s="118"/>
    </x:row>
    <x:row r="11">
      <x:c r="A11" s="118"/>
      <x:c r="B11" s="118"/>
      <x:c r="C11" s="118"/>
      <x:c r="D11" s="118"/>
      <x:c r="E11" s="118"/>
      <x:c r="F11" s="118"/>
      <x:c r="G11" s="118"/>
      <x:c r="H11" s="118"/>
      <x:c r="I11" s="118"/>
    </x:row>
    <x:row r="12">
      <x:c r="A12" s="12" t="str">
        <x:v>状态图例</x:v>
      </x:c>
      <x:c r="B12" s="12" t="str">
        <x:v>含义</x:v>
      </x:c>
      <x:c r="C12" s="12" t="str">
        <x:v>处理原则</x:v>
      </x:c>
      <x:c r="D12" s="118"/>
      <x:c r="E12" s="12" t="str">
        <x:v>本轮判断边界</x:v>
      </x:c>
      <x:c r="F12" s="12"/>
      <x:c r="G12" s="12"/>
      <x:c r="H12" s="12"/>
      <x:c r="I12" s="12"/>
    </x:row>
    <x:row r="13" ht="38" customHeight="1">
      <x:c r="A13" s="129" t="str">
        <x:v>confirmed</x:v>
      </x:c>
      <x:c r="B13" s="130" t="str">
        <x:v>完整证据门通过</x:v>
      </x:c>
      <x:c r="C13" s="131" t="str">
        <x:v>可生成独立 PoC</x:v>
      </x:c>
      <x:c r="D13" s="118"/>
      <x:c r="E13" s="132" t="str">
        <x:v>1. 30/30 commit、tree、snapshot 均匹配；345/345 源码哈希与引用行匹配。
2. 通用 sanitizer 控制与缩约源码模型只证明验证方法可用，不能冒充产品 PoC。
3. 没有候选同时证明真实入口/权限边界、可达敏感操作、可控触发和 CIA 影响。
4. 因此正确结论为 0 个确认漏洞、0 个专用 PoC。
5. 沙箱固定镜像：sha256:e92d5365460142169ddd21d489bc9157d003c61e3382351c8f8516f3e38f96ae</x:v>
      </x:c>
      <x:c r="F13" s="133"/>
      <x:c r="G13" s="133"/>
      <x:c r="H13" s="133"/>
      <x:c r="I13" s="134"/>
    </x:row>
    <x:row r="14" ht="38" customHeight="1">
      <x:c r="A14" s="135" t="str">
        <x:v>dynamic_reproduced_unconfirmed</x:v>
      </x:c>
      <x:c r="B14" s="136" t="str">
        <x:v>动态触发但产品证据不完整</x:v>
      </x:c>
      <x:c r="C14" s="137" t="str">
        <x:v>不得称为已确认漏洞</x:v>
      </x:c>
      <x:c r="D14" s="118"/>
      <x:c r="E14" s="138"/>
      <x:c r="F14" s="139"/>
      <x:c r="G14" s="139"/>
      <x:c r="H14" s="139"/>
      <x:c r="I14" s="140"/>
    </x:row>
    <x:row r="15" ht="38" customHeight="1">
      <x:c r="A15" s="141" t="str">
        <x:v>not_reproduced</x:v>
      </x:c>
      <x:c r="B15" s="142" t="str">
        <x:v>静态反证或缩约模型未复现</x:v>
      </x:c>
      <x:c r="C15" s="143" t="str">
        <x:v>保留候选与反证证据</x:v>
      </x:c>
      <x:c r="D15" s="118"/>
      <x:c r="E15" s="138"/>
      <x:c r="F15" s="139"/>
      <x:c r="G15" s="139"/>
      <x:c r="H15" s="139"/>
      <x:c r="I15" s="140"/>
    </x:row>
    <x:row r="16" ht="38" customHeight="1">
      <x:c r="A16" s="144" t="str">
        <x:v>not_testable</x:v>
      </x:c>
      <x:c r="B16" s="145" t="str">
        <x:v>缺少产品入口/构建/交错等</x:v>
      </x:c>
      <x:c r="C16" s="146" t="str">
        <x:v>不等于安全</x:v>
      </x:c>
      <x:c r="D16" s="118"/>
      <x:c r="E16" s="138"/>
      <x:c r="F16" s="139"/>
      <x:c r="G16" s="139"/>
      <x:c r="H16" s="139"/>
      <x:c r="I16" s="140"/>
    </x:row>
    <x:row r="17" ht="38" customHeight="1">
      <x:c r="A17" s="147" t="str">
        <x:v>blocked_environment</x:v>
      </x:c>
      <x:c r="B17" s="148" t="str">
        <x:v>沙箱环境阻塞</x:v>
      </x:c>
      <x:c r="C17" s="149" t="str">
        <x:v>不得宿主回退</x:v>
      </x:c>
      <x:c r="D17" s="118"/>
      <x:c r="E17" s="150"/>
      <x:c r="F17" s="151"/>
      <x:c r="G17" s="151"/>
      <x:c r="H17" s="151"/>
      <x:c r="I17" s="152"/>
    </x:row>
    <x:row r="19">
      <x:c r="A19" s="6" t="str">
        <x:v>建议打印范围：A1:I19；横向；适合一页宽。</x:v>
      </x:c>
      <x:c r="B19" s="6"/>
      <x:c r="C19" s="6"/>
      <x:c r="D19" s="6"/>
      <x:c r="E19" s="6"/>
      <x:c r="F19" s="6"/>
      <x:c r="G19" s="6"/>
      <x:c r="H19" s="6"/>
      <x:c r="I19" s="6"/>
    </x:row>
  </x:sheetData>
  <x:mergeCells>
    <x:mergeCell ref="A1:I1"/>
    <x:mergeCell ref="A2:I2"/>
    <x:mergeCell ref="G4:I4"/>
    <x:mergeCell ref="E12:I12"/>
    <x:mergeCell ref="E13:I17"/>
    <x:mergeCell ref="A19:I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2" hidden="0" customWidth="1"/>
    <x:col min="4" max="4" width="35" hidden="0" customWidth="1"/>
    <x:col min="5" max="5" width="50" hidden="0" customWidth="1"/>
    <x:col min="6" max="6" width="52" hidden="0" customWidth="1"/>
    <x:col min="7" max="7" width="20" hidden="0" customWidth="1"/>
    <x:col min="8" max="8" width="68" hidden="0" customWidth="1"/>
    <x:col min="9" max="9" width="17" hidden="0" customWidth="1"/>
  </x:cols>
  <x:sheetData>
    <x:row r="1">
      <x:c r="A1" s="3" t="str">
        <x:v>候选明细：345 条逐条复核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高优先级 283 条；普通优先级 62 条；confirmed 0 条。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 t="str">
        <x:v>建议打印范围：A1:I350；横向；适合一页宽。颜色只表示验证状态，不表示扫描器 severity。</x:v>
      </x:c>
      <x:c r="B3" s="6"/>
      <x:c r="C3" s="6"/>
      <x:c r="D3" s="6"/>
      <x:c r="E3" s="6"/>
      <x:c r="F3" s="6"/>
      <x:c r="G3" s="6"/>
      <x:c r="H3" s="6"/>
      <x:c r="I3" s="6"/>
    </x:row>
    <x:row r="5">
      <x:c r="A5" s="12" t="str">
        <x:v>库/仓库</x:v>
      </x:c>
      <x:c r="B5" s="12" t="str">
        <x:v>扫描器</x:v>
      </x:c>
      <x:c r="C5" s="12" t="str">
        <x:v>高危候选</x:v>
      </x:c>
      <x:c r="D5" s="12" t="str">
        <x:v>规则/CWE</x:v>
      </x:c>
      <x:c r="E5" s="12" t="str">
        <x:v>文件/行</x:v>
      </x:c>
      <x:c r="F5" s="12" t="str">
        <x:v>AI 沙箱测试结果</x:v>
      </x:c>
      <x:c r="G5" s="12" t="str">
        <x:v>最终状态</x:v>
      </x:c>
      <x:c r="H5" s="12" t="str">
        <x:v>剩余证明义务</x:v>
      </x:c>
      <x:c r="I5" s="12" t="str">
        <x:v>PoC</x:v>
      </x:c>
    </x:row>
    <x:row r="6" ht="58" customHeight="1">
      <x:c r="A6" s="172" t="str">
        <x:v>resourceschedule_resource_schedule_service
openharmony/resourceschedule_resource_schedule_service
CR-0001</x:v>
      </x:c>
      <x:c r="B6" s="173" t="str">
        <x:v>ohscanner.cpp.shared_ptr_race</x:v>
      </x:c>
      <x:c r="C6" s="194" t="str">
        <x:v>高优先级</x:v>
      </x:c>
      <x:c r="D6" s="173" t="str">
        <x:v>ohcpp-shared-ptr-race-candidate-001 / CWE-362</x:v>
      </x:c>
      <x:c r="E6" s="173" t="str">
        <x:v>ressched/plugins/cgroup_sched_plugin/framework/sched_controller/include/supervisor.h:90
符号：abilities_</x:v>
      </x:c>
      <x:c r="F6" s="173" t="str">
        <x:v>未运行目标派生 harness；Docker 内通用 TSan 正控 3/3 稳定检出数据竞争，原子固定对照 3/3 干净。
方法控制不证明抽样组件存在竞态。</x:v>
      </x:c>
      <x:c r="G6" s="193" t="str">
        <x:v>not_testable</x:v>
      </x:c>
      <x:c r="H6" s="173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" s="190" t="str">
        <x:f>IFERROR(HYPERLINK("file:///D:/openHarmonyScanner/outputs/01a14d00-bc78-7ac2-9520-210d4b92b1ac/poc/index.json","无专用 PoC"),"无专用 PoC")</x:f>
        <x:v>无专用 PoC</x:v>
      </x:c>
    </x:row>
    <x:row r="7" ht="58" customHeight="1">
      <x:c r="A7" s="175" t="str">
        <x:v>resourceschedule_resource_schedule_service
openharmony/resourceschedule_resource_schedule_service
CR-0002</x:v>
      </x:c>
      <x:c r="B7" s="176" t="str">
        <x:v>ohscanner.cpp.shared_ptr_race</x:v>
      </x:c>
      <x:c r="C7" s="196" t="str">
        <x:v>高优先级</x:v>
      </x:c>
      <x:c r="D7" s="176" t="str">
        <x:v>ohcpp-shared-ptr-race-candidate-001 / CWE-362</x:v>
      </x:c>
      <x:c r="E7" s="176" t="str">
        <x:v>ressched/plugins/cgroup_sched_plugin/framework/sched_controller/include/supervisor.h:91
符号：windows_</x:v>
      </x:c>
      <x:c r="F7" s="176" t="str">
        <x:v>未运行目标派生 harness；Docker 内通用 TSan 正控 3/3 稳定检出数据竞争，原子固定对照 3/3 干净。
方法控制不证明抽样组件存在竞态。</x:v>
      </x:c>
      <x:c r="G7" s="195" t="str">
        <x:v>not_testable</x:v>
      </x:c>
      <x:c r="H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" s="191" t="str">
        <x:f>IFERROR(HYPERLINK("file:///D:/openHarmonyScanner/outputs/01a14d00-bc78-7ac2-9520-210d4b92b1ac/poc/index.json","无专用 PoC"),"无专用 PoC")</x:f>
        <x:v>无专用 PoC</x:v>
      </x:c>
    </x:row>
    <x:row r="8" ht="58" customHeight="1">
      <x:c r="A8" s="175" t="str">
        <x:v>resourceschedule_resource_schedule_service
openharmony/resourceschedule_resource_schedule_service
CR-0003</x:v>
      </x:c>
      <x:c r="B8" s="176" t="str">
        <x:v>ohscanner.cpp.shared_ptr_race</x:v>
      </x:c>
      <x:c r="C8" s="196" t="str">
        <x:v>高优先级</x:v>
      </x:c>
      <x:c r="D8" s="176" t="str">
        <x:v>ohcpp-shared-ptr-race-candidate-001 / CWE-362</x:v>
      </x:c>
      <x:c r="E8" s="176" t="str">
        <x:v>ressched/plugins/cgroup_sched_plugin/framework/sched_controller/include/supervisor.h:195
符号：pidsMap_</x:v>
      </x:c>
      <x:c r="F8" s="176" t="str">
        <x:v>未运行目标派生 harness；Docker 内通用 TSan 正控 3/3 稳定检出数据竞争，原子固定对照 3/3 干净。
方法控制不证明抽样组件存在竞态。</x:v>
      </x:c>
      <x:c r="G8" s="195" t="str">
        <x:v>not_testable</x:v>
      </x:c>
      <x:c r="H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" s="191" t="str">
        <x:f>IFERROR(HYPERLINK("file:///D:/openHarmonyScanner/outputs/01a14d00-bc78-7ac2-9520-210d4b92b1ac/poc/index.json","无专用 PoC"),"无专用 PoC")</x:f>
        <x:v>无专用 PoC</x:v>
      </x:c>
    </x:row>
    <x:row r="9" ht="58" customHeight="1">
      <x:c r="A9" s="175" t="str">
        <x:v>resourceschedule_resource_schedule_service
openharmony/resourceschedule_resource_schedule_service
CR-0004</x:v>
      </x:c>
      <x:c r="B9" s="176" t="str">
        <x:v>ohscanner.cpp.shared_ptr_race</x:v>
      </x:c>
      <x:c r="C9" s="196" t="str">
        <x:v>高优先级</x:v>
      </x:c>
      <x:c r="D9" s="176" t="str">
        <x:v>ohcpp-shared-ptr-race-candidate-001 / CWE-362</x:v>
      </x:c>
      <x:c r="E9" s="176" t="str">
        <x:v>ressched/plugins/cgroup_sched_plugin/framework/sched_controller/include/supervisor.h:236
符号：uidsMap_</x:v>
      </x:c>
      <x:c r="F9" s="176" t="str">
        <x:v>未运行目标派生 harness；Docker 内通用 TSan 正控 3/3 稳定检出数据竞争，原子固定对照 3/3 干净。
方法控制不证明抽样组件存在竞态。</x:v>
      </x:c>
      <x:c r="G9" s="195" t="str">
        <x:v>not_testable</x:v>
      </x:c>
      <x:c r="H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" s="191" t="str">
        <x:f>IFERROR(HYPERLINK("file:///D:/openHarmonyScanner/outputs/01a14d00-bc78-7ac2-9520-210d4b92b1ac/poc/index.json","无专用 PoC"),"无专用 PoC")</x:f>
        <x:v>无专用 PoC</x:v>
      </x:c>
    </x:row>
    <x:row r="10" ht="58" customHeight="1">
      <x:c r="A10" s="175" t="str">
        <x:v>distributeddatamgr_data_share
openharmony/distributeddatamgr_data_share
CR-0005</x:v>
      </x:c>
      <x:c r="B10" s="176" t="str">
        <x:v>ohscanner.cpp.shared_ptr_race</x:v>
      </x:c>
      <x:c r="C10" s="196" t="str">
        <x:v>高优先级</x:v>
      </x:c>
      <x:c r="D10" s="176" t="str">
        <x:v>ohcpp-shared-ptr-race-candidate-001 / CWE-362</x:v>
      </x:c>
      <x:c r="E10" s="176" t="str">
        <x:v>frameworks/ets/ani/include/ani_observer.h:29
符号：observer_</x:v>
      </x:c>
      <x:c r="F10" s="176" t="str">
        <x:v>未运行目标派生 harness；Docker 内通用 TSan 正控 3/3 稳定检出数据竞争，原子固定对照 3/3 干净。
方法控制不证明抽样组件存在竞态。</x:v>
      </x:c>
      <x:c r="G10" s="195" t="str">
        <x:v>not_testable</x:v>
      </x:c>
      <x:c r="H1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" s="191" t="str">
        <x:f>IFERROR(HYPERLINK("file:///D:/openHarmonyScanner/outputs/01a14d00-bc78-7ac2-9520-210d4b92b1ac/poc/index.json","无专用 PoC"),"无专用 PoC")</x:f>
        <x:v>无专用 PoC</x:v>
      </x:c>
    </x:row>
    <x:row r="11" ht="58" customHeight="1">
      <x:c r="A11" s="175" t="str">
        <x:v>distributeddatamgr_data_share
openharmony/distributeddatamgr_data_share
CR-0006</x:v>
      </x:c>
      <x:c r="B11" s="176" t="str">
        <x:v>ohscanner.cpp.shared_ptr_race</x:v>
      </x:c>
      <x:c r="C11" s="196" t="str">
        <x:v>高优先级</x:v>
      </x:c>
      <x:c r="D11" s="176" t="str">
        <x:v>ohcpp-shared-ptr-race-candidate-001 / CWE-362</x:v>
      </x:c>
      <x:c r="E11" s="176" t="str">
        <x:v>frameworks/ets/ani/include/datashare_ani.h:84
符号：dataProxyHandle_</x:v>
      </x:c>
      <x:c r="F11" s="176" t="str">
        <x:v>未运行目标派生 harness；Docker 内通用 TSan 正控 3/3 稳定检出数据竞争，原子固定对照 3/3 干净。
方法控制不证明抽样组件存在竞态。</x:v>
      </x:c>
      <x:c r="G11" s="195" t="str">
        <x:v>not_testable</x:v>
      </x:c>
      <x:c r="H1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" s="191" t="str">
        <x:f>IFERROR(HYPERLINK("file:///D:/openHarmonyScanner/outputs/01a14d00-bc78-7ac2-9520-210d4b92b1ac/poc/index.json","无专用 PoC"),"无专用 PoC")</x:f>
        <x:v>无专用 PoC</x:v>
      </x:c>
    </x:row>
    <x:row r="12" ht="58" customHeight="1">
      <x:c r="A12" s="175" t="str">
        <x:v>distributeddatamgr_data_share
openharmony/distributeddatamgr_data_share
CR-0007</x:v>
      </x:c>
      <x:c r="B12" s="176" t="str">
        <x:v>ohscanner.cpp.shared_ptr_race</x:v>
      </x:c>
      <x:c r="C12" s="196" t="str">
        <x:v>高优先级</x:v>
      </x:c>
      <x:c r="D12" s="176" t="str">
        <x:v>ohcpp-shared-ptr-race-candidate-001 / CWE-362</x:v>
      </x:c>
      <x:c r="E12" s="176" t="str">
        <x:v>frameworks/ets/ani/include/datashare_ani.h:90
符号：jsProxyDataObsManager_</x:v>
      </x:c>
      <x:c r="F12" s="176" t="str">
        <x:v>未运行目标派生 harness；Docker 内通用 TSan 正控 3/3 稳定检出数据竞争，原子固定对照 3/3 干净。
方法控制不证明抽样组件存在竞态。</x:v>
      </x:c>
      <x:c r="G12" s="195" t="str">
        <x:v>not_testable</x:v>
      </x:c>
      <x:c r="H1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2" s="191" t="str">
        <x:f>IFERROR(HYPERLINK("file:///D:/openHarmonyScanner/outputs/01a14d00-bc78-7ac2-9520-210d4b92b1ac/poc/index.json","无专用 PoC"),"无专用 PoC")</x:f>
        <x:v>无专用 PoC</x:v>
      </x:c>
    </x:row>
    <x:row r="13" ht="58" customHeight="1">
      <x:c r="A13" s="175" t="str">
        <x:v>distributeddatamgr_data_share
openharmony/distributeddatamgr_data_share
CR-0008</x:v>
      </x:c>
      <x:c r="B13" s="176" t="str">
        <x:v>ohscanner.cpp.shared_ptr_race</x:v>
      </x:c>
      <x:c r="C13" s="196" t="str">
        <x:v>高优先级</x:v>
      </x:c>
      <x:c r="D13" s="176" t="str">
        <x:v>ohcpp-shared-ptr-race-candidate-001 / CWE-362</x:v>
      </x:c>
      <x:c r="E13" s="176" t="str">
        <x:v>frameworks/ets/ani/include/datashare_ani.h:91
符号：dataProxyHandle_</x:v>
      </x:c>
      <x:c r="F13" s="176" t="str">
        <x:v>未运行目标派生 harness；Docker 内通用 TSan 正控 3/3 稳定检出数据竞争，原子固定对照 3/3 干净。
方法控制不证明抽样组件存在竞态。</x:v>
      </x:c>
      <x:c r="G13" s="195" t="str">
        <x:v>not_testable</x:v>
      </x:c>
      <x:c r="H1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" s="191" t="str">
        <x:f>IFERROR(HYPERLINK("file:///D:/openHarmonyScanner/outputs/01a14d00-bc78-7ac2-9520-210d4b92b1ac/poc/index.json","无专用 PoC"),"无专用 PoC")</x:f>
        <x:v>无专用 PoC</x:v>
      </x:c>
    </x:row>
    <x:row r="14" ht="58" customHeight="1">
      <x:c r="A14" s="175" t="str">
        <x:v>distributeddatamgr_data_share
openharmony/distributeddatamgr_data_share
CR-0009</x:v>
      </x:c>
      <x:c r="B14" s="176" t="str">
        <x:v>ohscanner.cpp.shared_ptr_race</x:v>
      </x:c>
      <x:c r="C14" s="196" t="str">
        <x:v>高优先级</x:v>
      </x:c>
      <x:c r="D14" s="176" t="str">
        <x:v>ohcpp-shared-ptr-race-candidate-001 / CWE-362</x:v>
      </x:c>
      <x:c r="E14" s="176" t="str">
        <x:v>frameworks/ets/ani/include/datashare_ani.h:101
符号：resultSetPtr_</x:v>
      </x:c>
      <x:c r="F14" s="176" t="str">
        <x:v>未运行目标派生 harness；Docker 内通用 TSan 正控 3/3 稳定检出数据竞争，原子固定对照 3/3 干净。
方法控制不证明抽样组件存在竞态。</x:v>
      </x:c>
      <x:c r="G14" s="195" t="str">
        <x:v>not_testable</x:v>
      </x:c>
      <x:c r="H1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" s="191" t="str">
        <x:f>IFERROR(HYPERLINK("file:///D:/openHarmonyScanner/outputs/01a14d00-bc78-7ac2-9520-210d4b92b1ac/poc/index.json","无专用 PoC"),"无专用 PoC")</x:f>
        <x:v>无专用 PoC</x:v>
      </x:c>
    </x:row>
    <x:row r="15" ht="58" customHeight="1">
      <x:c r="A15" s="175" t="str">
        <x:v>distributeddatamgr_data_share
openharmony/distributeddatamgr_data_share
CR-0010</x:v>
      </x:c>
      <x:c r="B15" s="176" t="str">
        <x:v>ohscanner.cpp.shared_ptr_race</x:v>
      </x:c>
      <x:c r="C15" s="196" t="str">
        <x:v>高优先级</x:v>
      </x:c>
      <x:c r="D15" s="176" t="str">
        <x:v>ohcpp-shared-ptr-race-candidate-001 / CWE-362</x:v>
      </x:c>
      <x:c r="E15" s="176" t="str">
        <x:v>frameworks/js/napi/dataShare/include/napi_datashare_observer.h:27
符号：observer_</x:v>
      </x:c>
      <x:c r="F15" s="176" t="str">
        <x:v>未运行目标派生 harness；Docker 内通用 TSan 正控 3/3 稳定检出数据竞争，原子固定对照 3/3 干净。
方法控制不证明抽样组件存在竞态。</x:v>
      </x:c>
      <x:c r="G15" s="195" t="str">
        <x:v>not_testable</x:v>
      </x:c>
      <x:c r="H1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" s="191" t="str">
        <x:f>IFERROR(HYPERLINK("file:///D:/openHarmonyScanner/outputs/01a14d00-bc78-7ac2-9520-210d4b92b1ac/poc/index.json","无专用 PoC"),"无专用 PoC")</x:f>
        <x:v>无专用 PoC</x:v>
      </x:c>
    </x:row>
    <x:row r="16" ht="58" customHeight="1">
      <x:c r="A16" s="175" t="str">
        <x:v>distributeddatamgr_data_share
openharmony/distributeddatamgr_data_share
CR-0011</x:v>
      </x:c>
      <x:c r="B16" s="176" t="str">
        <x:v>ohscanner.cpp.shared_ptr_race</x:v>
      </x:c>
      <x:c r="C16" s="196" t="str">
        <x:v>高优先级</x:v>
      </x:c>
      <x:c r="D16" s="176" t="str">
        <x:v>ohcpp-shared-ptr-race-candidate-001 / CWE-362</x:v>
      </x:c>
      <x:c r="E16" s="176" t="str">
        <x:v>frameworks/native/consumer/include/datashare_helper_impl.h:34
符号：dataShareObserver_</x:v>
      </x:c>
      <x:c r="F16" s="176" t="str">
        <x:v>未运行目标派生 harness；Docker 内通用 TSan 正控 3/3 稳定检出数据竞争，原子固定对照 3/3 干净。
方法控制不证明抽样组件存在竞态。</x:v>
      </x:c>
      <x:c r="G16" s="195" t="str">
        <x:v>not_testable</x:v>
      </x:c>
      <x:c r="H1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" s="191" t="str">
        <x:f>IFERROR(HYPERLINK("file:///D:/openHarmonyScanner/outputs/01a14d00-bc78-7ac2-9520-210d4b92b1ac/poc/index.json","无专用 PoC"),"无专用 PoC")</x:f>
        <x:v>无专用 PoC</x:v>
      </x:c>
    </x:row>
    <x:row r="17" ht="58" customHeight="1">
      <x:c r="A17" s="175" t="str">
        <x:v>distributeddatamgr_data_share
openharmony/distributeddatamgr_data_share
CR-0012</x:v>
      </x:c>
      <x:c r="B17" s="176" t="str">
        <x:v>ohscanner.cpp.shared_ptr_race</x:v>
      </x:c>
      <x:c r="C17" s="196" t="str">
        <x:v>高优先级</x:v>
      </x:c>
      <x:c r="D17" s="176" t="str">
        <x:v>ohcpp-shared-ptr-race-candidate-001 / CWE-362</x:v>
      </x:c>
      <x:c r="E17" s="176" t="str">
        <x:v>frameworks/native/provider/include/datashare_stub_impl.h:33
符号：extension_</x:v>
      </x:c>
      <x:c r="F17" s="176" t="str">
        <x:v>未运行目标派生 harness；Docker 内通用 TSan 正控 3/3 稳定检出数据竞争，原子固定对照 3/3 干净。
方法控制不证明抽样组件存在竞态。</x:v>
      </x:c>
      <x:c r="G17" s="195" t="str">
        <x:v>not_testable</x:v>
      </x:c>
      <x:c r="H1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" s="191" t="str">
        <x:f>IFERROR(HYPERLINK("file:///D:/openHarmonyScanner/outputs/01a14d00-bc78-7ac2-9520-210d4b92b1ac/poc/index.json","无专用 PoC"),"无专用 PoC")</x:f>
        <x:v>无专用 PoC</x:v>
      </x:c>
    </x:row>
    <x:row r="18" ht="58" customHeight="1">
      <x:c r="A18" s="175" t="str">
        <x:v>distributeddatamgr_data_share
openharmony/distributeddatamgr_data_share
CR-0013</x:v>
      </x:c>
      <x:c r="B18" s="176" t="str">
        <x:v>ohscanner.cpp.shared_ptr_race</x:v>
      </x:c>
      <x:c r="C18" s="196" t="str">
        <x:v>高优先级</x:v>
      </x:c>
      <x:c r="D18" s="176" t="str">
        <x:v>ohcpp-shared-ptr-race-candidate-001 / CWE-362</x:v>
      </x:c>
      <x:c r="E18" s="176" t="str">
        <x:v>frameworks/native/provider/include/datashare_stub_impl.h:35
符号：uvQueue_</x:v>
      </x:c>
      <x:c r="F18" s="176" t="str">
        <x:v>未运行目标派生 harness；Docker 内通用 TSan 正控 3/3 稳定检出数据竞争，原子固定对照 3/3 干净。
方法控制不证明抽样组件存在竞态。</x:v>
      </x:c>
      <x:c r="G18" s="195" t="str">
        <x:v>not_testable</x:v>
      </x:c>
      <x:c r="H1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8" s="191" t="str">
        <x:f>IFERROR(HYPERLINK("file:///D:/openHarmonyScanner/outputs/01a14d00-bc78-7ac2-9520-210d4b92b1ac/poc/index.json","无专用 PoC"),"无专用 PoC")</x:f>
        <x:v>无专用 PoC</x:v>
      </x:c>
    </x:row>
    <x:row r="19" ht="58" customHeight="1">
      <x:c r="A19" s="175" t="str">
        <x:v>distributeddatamgr_data_share
openharmony/distributeddatamgr_data_share
CR-0014</x:v>
      </x:c>
      <x:c r="B19" s="176" t="str">
        <x:v>ohscanner.cpp.shared_ptr_race</x:v>
      </x:c>
      <x:c r="C19" s="196" t="str">
        <x:v>高优先级</x:v>
      </x:c>
      <x:c r="D19" s="176" t="str">
        <x:v>ohcpp-shared-ptr-race-candidate-001 / CWE-362</x:v>
      </x:c>
      <x:c r="E19" s="176" t="str">
        <x:v>frameworks/native/provider/include/datashare_stub_impl.h:40
符号：extension_</x:v>
      </x:c>
      <x:c r="F19" s="176" t="str">
        <x:v>未运行目标派生 harness；Docker 内通用 TSan 正控 3/3 稳定检出数据竞争，原子固定对照 3/3 干净。
方法控制不证明抽样组件存在竞态。</x:v>
      </x:c>
      <x:c r="G19" s="195" t="str">
        <x:v>not_testable</x:v>
      </x:c>
      <x:c r="H1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9" s="191" t="str">
        <x:f>IFERROR(HYPERLINK("file:///D:/openHarmonyScanner/outputs/01a14d00-bc78-7ac2-9520-210d4b92b1ac/poc/index.json","无专用 PoC"),"无专用 PoC")</x:f>
        <x:v>无专用 PoC</x:v>
      </x:c>
    </x:row>
    <x:row r="20" ht="58" customHeight="1">
      <x:c r="A20" s="175" t="str">
        <x:v>distributeddatamgr_data_share
openharmony/distributeddatamgr_data_share
CR-0015</x:v>
      </x:c>
      <x:c r="B20" s="176" t="str">
        <x:v>ohscanner.cpp.shared_ptr_race</x:v>
      </x:c>
      <x:c r="C20" s="196" t="str">
        <x:v>高优先级</x:v>
      </x:c>
      <x:c r="D20" s="176" t="str">
        <x:v>ohcpp-shared-ptr-race-candidate-001 / CWE-362</x:v>
      </x:c>
      <x:c r="E20" s="176" t="str">
        <x:v>frameworks/native/provider/include/datashare_stub_impl.h:42
符号：uvQueue_</x:v>
      </x:c>
      <x:c r="F20" s="176" t="str">
        <x:v>未运行目标派生 harness；Docker 内通用 TSan 正控 3/3 稳定检出数据竞争，原子固定对照 3/3 干净。
方法控制不证明抽样组件存在竞态。</x:v>
      </x:c>
      <x:c r="G20" s="195" t="str">
        <x:v>not_testable</x:v>
      </x:c>
      <x:c r="H2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" s="191" t="str">
        <x:f>IFERROR(HYPERLINK("file:///D:/openHarmonyScanner/outputs/01a14d00-bc78-7ac2-9520-210d4b92b1ac/poc/index.json","无专用 PoC"),"无专用 PoC")</x:f>
        <x:v>无专用 PoC</x:v>
      </x:c>
    </x:row>
    <x:row r="21" ht="58" customHeight="1">
      <x:c r="A21" s="175" t="str">
        <x:v>distributeddatamgr_data_share
openharmony/distributeddatamgr_data_share
CR-0016</x:v>
      </x:c>
      <x:c r="B21" s="176" t="str">
        <x:v>ohscanner.interface.ipc</x:v>
      </x:c>
      <x:c r="C21" s="196" t="str">
        <x:v>高优先级</x:v>
      </x:c>
      <x:c r="D21" s="176" t="str">
        <x:v>ipc.auth.missing / CWE-862</x:v>
      </x:c>
      <x:c r="E21" s="176" t="str">
        <x:v>frameworks/native/provider/src/datashare_stub.cpp:204
符号：DataShareStub::OpenFileInner</x:v>
      </x:c>
      <x:c r="F21" s="176" t="str">
        <x:v>未运行目标派生 harness；通用 sanitizer 控制仅验证方法可用，不能替代产品入口、权限边界和 CIA 影响证明。</x:v>
      </x:c>
      <x:c r="G21" s="195" t="str">
        <x:v>not_testable</x:v>
      </x:c>
      <x:c r="H21" s="176" t="str">
        <x:v>1) 建立 Binder/IPC 入口、调用者 UID/PID/权限域与 upstream policy 的完整链路
2) 证明缺失 guard 支配所有到敏感操作的可达路径，而非仅局部函数片段
3) 证明攻击者可控输入可绕过授权并产生具体 CIA 影响</x:v>
      </x:c>
      <x:c r="I21" s="191" t="str">
        <x:f>IFERROR(HYPERLINK("file:///D:/openHarmonyScanner/outputs/01a14d00-bc78-7ac2-9520-210d4b92b1ac/poc/index.json","无专用 PoC"),"无专用 PoC")</x:f>
        <x:v>无专用 PoC</x:v>
      </x:c>
    </x:row>
    <x:row r="22" ht="58" customHeight="1">
      <x:c r="A22" s="175" t="str">
        <x:v>distributeddatamgr_data_share
openharmony/distributeddatamgr_data_share
CR-0017</x:v>
      </x:c>
      <x:c r="B22" s="176" t="str">
        <x:v>ohscanner.interface.ipc</x:v>
      </x:c>
      <x:c r="C22" s="196" t="str">
        <x:v>高优先级</x:v>
      </x:c>
      <x:c r="D22" s="176" t="str">
        <x:v>ipc.capability.export / CWE-926（可能后果 CWE-668）</x:v>
      </x:c>
      <x:c r="E22" s="176" t="str">
        <x:v>frameworks/native/provider/src/datashare_stub.cpp:221
符号：DataShareStub::CmdOpenFile</x:v>
      </x:c>
      <x:c r="F22" s="176" t="str">
        <x:v>未运行目标派生 harness；通用 sanitizer 控制仅验证方法可用，不能替代产品入口、权限边界和 CIA 影响证明。</x:v>
      </x:c>
      <x:c r="G22" s="195" t="str">
        <x:v>not_testable</x:v>
      </x:c>
      <x:c r="H22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2" s="191" t="str">
        <x:f>IFERROR(HYPERLINK("file:///D:/openHarmonyScanner/outputs/01a14d00-bc78-7ac2-9520-210d4b92b1ac/poc/index.json","无专用 PoC"),"无专用 PoC")</x:f>
        <x:v>无专用 PoC</x:v>
      </x:c>
    </x:row>
    <x:row r="23" ht="58" customHeight="1">
      <x:c r="A23" s="175" t="str">
        <x:v>distributeddatamgr_data_share
openharmony/distributeddatamgr_data_share
CR-0018</x:v>
      </x:c>
      <x:c r="B23" s="176" t="str">
        <x:v>ohscanner.interface.ipc</x:v>
      </x:c>
      <x:c r="C23" s="196" t="str">
        <x:v>高优先级</x:v>
      </x:c>
      <x:c r="D23" s="176" t="str">
        <x:v>ipc.capability.export / CWE-926（可能后果 CWE-668）</x:v>
      </x:c>
      <x:c r="E23" s="176" t="str">
        <x:v>frameworks/native/provider/src/datashare_stub.cpp:243
符号：DataShareStub::CmdOpenFileWithErrCode</x:v>
      </x:c>
      <x:c r="F23" s="176" t="str">
        <x:v>未运行目标派生 harness；通用 sanitizer 控制仅验证方法可用，不能替代产品入口、权限边界和 CIA 影响证明。</x:v>
      </x:c>
      <x:c r="G23" s="195" t="str">
        <x:v>not_testable</x:v>
      </x:c>
      <x:c r="H23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3" s="191" t="str">
        <x:f>IFERROR(HYPERLINK("file:///D:/openHarmonyScanner/outputs/01a14d00-bc78-7ac2-9520-210d4b92b1ac/poc/index.json","无专用 PoC"),"无专用 PoC")</x:f>
        <x:v>无专用 PoC</x:v>
      </x:c>
    </x:row>
    <x:row r="24" ht="58" customHeight="1">
      <x:c r="A24" s="175" t="str">
        <x:v>distributeddatamgr_data_share
openharmony/distributeddatamgr_data_share
CR-0019</x:v>
      </x:c>
      <x:c r="B24" s="176" t="str">
        <x:v>ohscanner.interface.ipc</x:v>
      </x:c>
      <x:c r="C24" s="182" t="str">
        <x:v>普通优先级</x:v>
      </x:c>
      <x:c r="D24" s="176" t="str">
        <x:v>ipc.relay.descriptor-boundary / CWE-441</x:v>
      </x:c>
      <x:c r="E24" s="176" t="str">
        <x:v>frameworks/native/proxy/src/data_proxy_observer_stub.cpp:222
符号：ProxyDataObserverStub::OnRemoteRequest</x:v>
      </x:c>
      <x:c r="F24" s="176" t="str">
        <x:v>未运行目标派生 harness；通用 sanitizer 控制仅验证方法可用，不能替代产品入口、权限边界和 CIA 影响证明。</x:v>
      </x:c>
      <x:c r="G24" s="195" t="str">
        <x:v>not_testable</x:v>
      </x:c>
      <x:c r="H24" s="176" t="str">
        <x:v>1) 补充 descriptor 解析边界、输入长度与目标缓冲区容量的完整数据流
2) 证明真实 IPC 入口、可控触发条件和具体 CIA 影响</x:v>
      </x:c>
      <x:c r="I24" s="191" t="str">
        <x:f>IFERROR(HYPERLINK("file:///D:/openHarmonyScanner/outputs/01a14d00-bc78-7ac2-9520-210d4b92b1ac/poc/index.json","无专用 PoC"),"无专用 PoC")</x:f>
        <x:v>无专用 PoC</x:v>
      </x:c>
    </x:row>
    <x:row r="25" ht="58" customHeight="1">
      <x:c r="A25" s="175" t="str">
        <x:v>distributeddatamgr_preferences
openharmony/distributeddatamgr_preferences
CR-0020</x:v>
      </x:c>
      <x:c r="B25" s="176" t="str">
        <x:v>ohscanner.cpp.shared_ptr_race</x:v>
      </x:c>
      <x:c r="C25" s="196" t="str">
        <x:v>高优先级</x:v>
      </x:c>
      <x:c r="D25" s="176" t="str">
        <x:v>ohcpp-shared-ptr-race-candidate-001 / CWE-362</x:v>
      </x:c>
      <x:c r="E25" s="176" t="str">
        <x:v>frameworks/js/napi/common/include/js_proxy.h:37
符号：instance_</x:v>
      </x:c>
      <x:c r="F25" s="176" t="str">
        <x:v>未运行目标派生 harness；Docker 内通用 TSan 正控 3/3 稳定检出数据竞争，原子固定对照 3/3 干净。
方法控制不证明抽样组件存在竞态。</x:v>
      </x:c>
      <x:c r="G25" s="195" t="str">
        <x:v>not_testable</x:v>
      </x:c>
      <x:c r="H2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5" s="191" t="str">
        <x:f>IFERROR(HYPERLINK("file:///D:/openHarmonyScanner/outputs/01a14d00-bc78-7ac2-9520-210d4b92b1ac/poc/index.json","无专用 PoC"),"无专用 PoC")</x:f>
        <x:v>无专用 PoC</x:v>
      </x:c>
    </x:row>
    <x:row r="26" ht="58" customHeight="1">
      <x:c r="A26" s="175" t="str">
        <x:v>distributeddatamgr_preferences
openharmony/distributeddatamgr_preferences
CR-0021</x:v>
      </x:c>
      <x:c r="B26" s="176" t="str">
        <x:v>ohscanner.cpp.shared_ptr_race</x:v>
      </x:c>
      <x:c r="C26" s="196" t="str">
        <x:v>高优先级</x:v>
      </x:c>
      <x:c r="D26" s="176" t="str">
        <x:v>ohcpp-shared-ptr-race-candidate-001 / CWE-362</x:v>
      </x:c>
      <x:c r="E26" s="176" t="str">
        <x:v>frameworks/js/napi/common/include/js_proxy.h:42
符号：instance_</x:v>
      </x:c>
      <x:c r="F26" s="176" t="str">
        <x:v>未运行目标派生 harness；Docker 内通用 TSan 正控 3/3 稳定检出数据竞争，原子固定对照 3/3 干净。
方法控制不证明抽样组件存在竞态。</x:v>
      </x:c>
      <x:c r="G26" s="195" t="str">
        <x:v>not_testable</x:v>
      </x:c>
      <x:c r="H2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" s="191" t="str">
        <x:f>IFERROR(HYPERLINK("file:///D:/openHarmonyScanner/outputs/01a14d00-bc78-7ac2-9520-210d4b92b1ac/poc/index.json","无专用 PoC"),"无专用 PoC")</x:f>
        <x:v>无专用 PoC</x:v>
      </x:c>
    </x:row>
    <x:row r="27" ht="58" customHeight="1">
      <x:c r="A27" s="175" t="str">
        <x:v>distributeddatamgr_preferences
openharmony/distributeddatamgr_preferences
CR-0022</x:v>
      </x:c>
      <x:c r="B27" s="176" t="str">
        <x:v>ohscanner.cpp.shared_ptr_race</x:v>
      </x:c>
      <x:c r="C27" s="196" t="str">
        <x:v>高优先级</x:v>
      </x:c>
      <x:c r="D27" s="176" t="str">
        <x:v>ohcpp-shared-ptr-race-candidate-001 / CWE-362</x:v>
      </x:c>
      <x:c r="E27" s="176" t="str">
        <x:v>test/native/fuzztest/dbpreferences_fuzzer/dbpreferences_fuzzer.cpp:43
符号：preferences_</x:v>
      </x:c>
      <x:c r="F27" s="176" t="str">
        <x:v>未运行目标派生 harness；Docker 内通用 TSan 正控 3/3 稳定检出数据竞争，原子固定对照 3/3 干净。
方法控制不证明抽样组件存在竞态。</x:v>
      </x:c>
      <x:c r="G27" s="195" t="str">
        <x:v>not_testable</x:v>
      </x:c>
      <x:c r="H2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" s="191" t="str">
        <x:f>IFERROR(HYPERLINK("file:///D:/openHarmonyScanner/outputs/01a14d00-bc78-7ac2-9520-210d4b92b1ac/poc/index.json","无专用 PoC"),"无专用 PoC")</x:f>
        <x:v>无专用 PoC</x:v>
      </x:c>
    </x:row>
    <x:row r="28" ht="58" customHeight="1">
      <x:c r="A28" s="175" t="str">
        <x:v>distributeddatamgr_preferences
openharmony/distributeddatamgr_preferences
CR-0023</x:v>
      </x:c>
      <x:c r="B28" s="176" t="str">
        <x:v>ohscanner.cpp.shared_ptr_race</x:v>
      </x:c>
      <x:c r="C28" s="196" t="str">
        <x:v>高优先级</x:v>
      </x:c>
      <x:c r="D28" s="176" t="str">
        <x:v>ohcpp-shared-ptr-race-candidate-001 / CWE-362</x:v>
      </x:c>
      <x:c r="E28" s="176" t="str">
        <x:v>test/native/fuzztest/dbpreferences_fuzzer/dbpreferences_fuzzer.cpp:48
符号：preferences_</x:v>
      </x:c>
      <x:c r="F28" s="176" t="str">
        <x:v>未运行目标派生 harness；Docker 内通用 TSan 正控 3/3 稳定检出数据竞争，原子固定对照 3/3 干净。
方法控制不证明抽样组件存在竞态。</x:v>
      </x:c>
      <x:c r="G28" s="195" t="str">
        <x:v>not_testable</x:v>
      </x:c>
      <x:c r="H2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" s="191" t="str">
        <x:f>IFERROR(HYPERLINK("file:///D:/openHarmonyScanner/outputs/01a14d00-bc78-7ac2-9520-210d4b92b1ac/poc/index.json","无专用 PoC"),"无专用 PoC")</x:f>
        <x:v>无专用 PoC</x:v>
      </x:c>
    </x:row>
    <x:row r="29" ht="58" customHeight="1">
      <x:c r="A29" s="175" t="str">
        <x:v>distributeddatamgr_preferences
openharmony/distributeddatamgr_preferences
CR-0024</x:v>
      </x:c>
      <x:c r="B29" s="176" t="str">
        <x:v>ohscanner.cpp.shared_ptr_race</x:v>
      </x:c>
      <x:c r="C29" s="196" t="str">
        <x:v>高优先级</x:v>
      </x:c>
      <x:c r="D29" s="176" t="str">
        <x:v>ohcpp-shared-ptr-race-candidate-001 / CWE-362</x:v>
      </x:c>
      <x:c r="E29" s="176" t="str">
        <x:v>test/native/fuzztest/dbpreferences_fuzzer/dbpreferences_fuzzer.cpp:50
符号：preferences_</x:v>
      </x:c>
      <x:c r="F29" s="176" t="str">
        <x:v>未运行目标派生 harness；Docker 内通用 TSan 正控 3/3 稳定检出数据竞争，原子固定对照 3/3 干净。
方法控制不证明抽样组件存在竞态。</x:v>
      </x:c>
      <x:c r="G29" s="195" t="str">
        <x:v>not_testable</x:v>
      </x:c>
      <x:c r="H2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9" s="191" t="str">
        <x:f>IFERROR(HYPERLINK("file:///D:/openHarmonyScanner/outputs/01a14d00-bc78-7ac2-9520-210d4b92b1ac/poc/index.json","无专用 PoC"),"无专用 PoC")</x:f>
        <x:v>无专用 PoC</x:v>
      </x:c>
    </x:row>
    <x:row r="30" ht="58" customHeight="1">
      <x:c r="A30" s="175" t="str">
        <x:v>distributeddatamgr_preferences
openharmony/distributeddatamgr_preferences
CR-0025</x:v>
      </x:c>
      <x:c r="B30" s="176" t="str">
        <x:v>ohscanner.cpp.shared_ptr_race</x:v>
      </x:c>
      <x:c r="C30" s="196" t="str">
        <x:v>高优先级</x:v>
      </x:c>
      <x:c r="D30" s="176" t="str">
        <x:v>ohcpp-shared-ptr-race-candidate-001 / CWE-362</x:v>
      </x:c>
      <x:c r="E30" s="176" t="str">
        <x:v>test/native/fuzztest/dbpreferences_fuzzer/dbpreferences_fuzzer.cpp:65
符号：preferences_</x:v>
      </x:c>
      <x:c r="F30" s="176" t="str">
        <x:v>未运行目标派生 harness；Docker 内通用 TSan 正控 3/3 稳定检出数据竞争，原子固定对照 3/3 干净。
方法控制不证明抽样组件存在竞态。</x:v>
      </x:c>
      <x:c r="G30" s="195" t="str">
        <x:v>not_testable</x:v>
      </x:c>
      <x:c r="H3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0" s="191" t="str">
        <x:f>IFERROR(HYPERLINK("file:///D:/openHarmonyScanner/outputs/01a14d00-bc78-7ac2-9520-210d4b92b1ac/poc/index.json","无专用 PoC"),"无专用 PoC")</x:f>
        <x:v>无专用 PoC</x:v>
      </x:c>
    </x:row>
    <x:row r="31" ht="58" customHeight="1">
      <x:c r="A31" s="175" t="str">
        <x:v>distributeddatamgr_preferences
openharmony/distributeddatamgr_preferences
CR-0026</x:v>
      </x:c>
      <x:c r="B31" s="176" t="str">
        <x:v>ohscanner.cpp.shared_ptr_race</x:v>
      </x:c>
      <x:c r="C31" s="196" t="str">
        <x:v>高优先级</x:v>
      </x:c>
      <x:c r="D31" s="176" t="str">
        <x:v>ohcpp-shared-ptr-race-candidate-001 / CWE-362</x:v>
      </x:c>
      <x:c r="E31" s="176" t="str">
        <x:v>test/native/fuzztest/dbpreferences_fuzzer/dbpreferences_fuzzer.cpp:66
符号：preferences_</x:v>
      </x:c>
      <x:c r="F31" s="176" t="str">
        <x:v>未运行目标派生 harness；Docker 内通用 TSan 正控 3/3 稳定检出数据竞争，原子固定对照 3/3 干净。
方法控制不证明抽样组件存在竞态。</x:v>
      </x:c>
      <x:c r="G31" s="195" t="str">
        <x:v>not_testable</x:v>
      </x:c>
      <x:c r="H3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1" s="191" t="str">
        <x:f>IFERROR(HYPERLINK("file:///D:/openHarmonyScanner/outputs/01a14d00-bc78-7ac2-9520-210d4b92b1ac/poc/index.json","无专用 PoC"),"无专用 PoC")</x:f>
        <x:v>无专用 PoC</x:v>
      </x:c>
    </x:row>
    <x:row r="32" ht="58" customHeight="1">
      <x:c r="A32" s="175" t="str">
        <x:v>distributeddatamgr_preferences
openharmony/distributeddatamgr_preferences
CR-0027</x:v>
      </x:c>
      <x:c r="B32" s="176" t="str">
        <x:v>ohscanner.cpp.shared_ptr_race</x:v>
      </x:c>
      <x:c r="C32" s="196" t="str">
        <x:v>高优先级</x:v>
      </x:c>
      <x:c r="D32" s="176" t="str">
        <x:v>ohcpp-shared-ptr-race-candidate-001 / CWE-362</x:v>
      </x:c>
      <x:c r="E32" s="176" t="str">
        <x:v>test/native/fuzztest/dbpreferences_fuzzer/dbpreferences_fuzzer.cpp:74
符号：preferences_</x:v>
      </x:c>
      <x:c r="F32" s="176" t="str">
        <x:v>未运行目标派生 harness；Docker 内通用 TSan 正控 3/3 稳定检出数据竞争，原子固定对照 3/3 干净。
方法控制不证明抽样组件存在竞态。</x:v>
      </x:c>
      <x:c r="G32" s="195" t="str">
        <x:v>not_testable</x:v>
      </x:c>
      <x:c r="H3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" s="191" t="str">
        <x:f>IFERROR(HYPERLINK("file:///D:/openHarmonyScanner/outputs/01a14d00-bc78-7ac2-9520-210d4b92b1ac/poc/index.json","无专用 PoC"),"无专用 PoC")</x:f>
        <x:v>无专用 PoC</x:v>
      </x:c>
    </x:row>
    <x:row r="33" ht="58" customHeight="1">
      <x:c r="A33" s="175" t="str">
        <x:v>distributeddatamgr_preferences
openharmony/distributeddatamgr_preferences
CR-0028</x:v>
      </x:c>
      <x:c r="B33" s="176" t="str">
        <x:v>ohscanner.cpp.shared_ptr_race</x:v>
      </x:c>
      <x:c r="C33" s="196" t="str">
        <x:v>高优先级</x:v>
      </x:c>
      <x:c r="D33" s="176" t="str">
        <x:v>ohcpp-shared-ptr-race-candidate-001 / CWE-362</x:v>
      </x:c>
      <x:c r="E33" s="176" t="str">
        <x:v>test/native/fuzztest/dbpreferences_fuzzer/dbpreferences_fuzzer.cpp:75
符号：preferences_</x:v>
      </x:c>
      <x:c r="F33" s="176" t="str">
        <x:v>未运行目标派生 harness；Docker 内通用 TSan 正控 3/3 稳定检出数据竞争，原子固定对照 3/3 干净。
方法控制不证明抽样组件存在竞态。</x:v>
      </x:c>
      <x:c r="G33" s="195" t="str">
        <x:v>not_testable</x:v>
      </x:c>
      <x:c r="H3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" s="191" t="str">
        <x:f>IFERROR(HYPERLINK("file:///D:/openHarmonyScanner/outputs/01a14d00-bc78-7ac2-9520-210d4b92b1ac/poc/index.json","无专用 PoC"),"无专用 PoC")</x:f>
        <x:v>无专用 PoC</x:v>
      </x:c>
    </x:row>
    <x:row r="34" ht="58" customHeight="1">
      <x:c r="A34" s="175" t="str">
        <x:v>distributeddatamgr_preferences
openharmony/distributeddatamgr_preferences
CR-0029</x:v>
      </x:c>
      <x:c r="B34" s="176" t="str">
        <x:v>ohscanner.cpp.shared_ptr_race</x:v>
      </x:c>
      <x:c r="C34" s="196" t="str">
        <x:v>高优先级</x:v>
      </x:c>
      <x:c r="D34" s="176" t="str">
        <x:v>ohcpp-shared-ptr-race-candidate-001 / CWE-362</x:v>
      </x:c>
      <x:c r="E34" s="176" t="str">
        <x:v>test/native/fuzztest/dbpreferences_fuzzer/dbpreferences_fuzzer.cpp:83
符号：preferences_</x:v>
      </x:c>
      <x:c r="F34" s="176" t="str">
        <x:v>未运行目标派生 harness；Docker 内通用 TSan 正控 3/3 稳定检出数据竞争，原子固定对照 3/3 干净。
方法控制不证明抽样组件存在竞态。</x:v>
      </x:c>
      <x:c r="G34" s="195" t="str">
        <x:v>not_testable</x:v>
      </x:c>
      <x:c r="H3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4" s="191" t="str">
        <x:f>IFERROR(HYPERLINK("file:///D:/openHarmonyScanner/outputs/01a14d00-bc78-7ac2-9520-210d4b92b1ac/poc/index.json","无专用 PoC"),"无专用 PoC")</x:f>
        <x:v>无专用 PoC</x:v>
      </x:c>
    </x:row>
    <x:row r="35" ht="58" customHeight="1">
      <x:c r="A35" s="175" t="str">
        <x:v>distributeddatamgr_preferences
openharmony/distributeddatamgr_preferences
CR-0030</x:v>
      </x:c>
      <x:c r="B35" s="176" t="str">
        <x:v>ohscanner.cpp.shared_ptr_race</x:v>
      </x:c>
      <x:c r="C35" s="196" t="str">
        <x:v>高优先级</x:v>
      </x:c>
      <x:c r="D35" s="176" t="str">
        <x:v>ohcpp-shared-ptr-race-candidate-001 / CWE-362</x:v>
      </x:c>
      <x:c r="E35" s="176" t="str">
        <x:v>test/native/fuzztest/dbpreferences_fuzzer/dbpreferences_fuzzer.cpp:84
符号：preferences_</x:v>
      </x:c>
      <x:c r="F35" s="176" t="str">
        <x:v>未运行目标派生 harness；Docker 内通用 TSan 正控 3/3 稳定检出数据竞争，原子固定对照 3/3 干净。
方法控制不证明抽样组件存在竞态。</x:v>
      </x:c>
      <x:c r="G35" s="195" t="str">
        <x:v>not_testable</x:v>
      </x:c>
      <x:c r="H3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5" s="191" t="str">
        <x:f>IFERROR(HYPERLINK("file:///D:/openHarmonyScanner/outputs/01a14d00-bc78-7ac2-9520-210d4b92b1ac/poc/index.json","无专用 PoC"),"无专用 PoC")</x:f>
        <x:v>无专用 PoC</x:v>
      </x:c>
    </x:row>
    <x:row r="36" ht="58" customHeight="1">
      <x:c r="A36" s="175" t="str">
        <x:v>distributeddatamgr_preferences
openharmony/distributeddatamgr_preferences
CR-0031</x:v>
      </x:c>
      <x:c r="B36" s="176" t="str">
        <x:v>ohscanner.cpp.shared_ptr_race</x:v>
      </x:c>
      <x:c r="C36" s="196" t="str">
        <x:v>高优先级</x:v>
      </x:c>
      <x:c r="D36" s="176" t="str">
        <x:v>ohcpp-shared-ptr-race-candidate-001 / CWE-362</x:v>
      </x:c>
      <x:c r="E36" s="176" t="str">
        <x:v>test/native/fuzztest/dbpreferences_fuzzer/dbpreferences_fuzzer.cpp:92
符号：preferences_</x:v>
      </x:c>
      <x:c r="F36" s="176" t="str">
        <x:v>未运行目标派生 harness；Docker 内通用 TSan 正控 3/3 稳定检出数据竞争，原子固定对照 3/3 干净。
方法控制不证明抽样组件存在竞态。</x:v>
      </x:c>
      <x:c r="G36" s="195" t="str">
        <x:v>not_testable</x:v>
      </x:c>
      <x:c r="H3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6" s="191" t="str">
        <x:f>IFERROR(HYPERLINK("file:///D:/openHarmonyScanner/outputs/01a14d00-bc78-7ac2-9520-210d4b92b1ac/poc/index.json","无专用 PoC"),"无专用 PoC")</x:f>
        <x:v>无专用 PoC</x:v>
      </x:c>
    </x:row>
    <x:row r="37" ht="58" customHeight="1">
      <x:c r="A37" s="175" t="str">
        <x:v>distributeddatamgr_preferences
openharmony/distributeddatamgr_preferences
CR-0032</x:v>
      </x:c>
      <x:c r="B37" s="176" t="str">
        <x:v>ohscanner.cpp.shared_ptr_race</x:v>
      </x:c>
      <x:c r="C37" s="196" t="str">
        <x:v>高优先级</x:v>
      </x:c>
      <x:c r="D37" s="176" t="str">
        <x:v>ohcpp-shared-ptr-race-candidate-001 / CWE-362</x:v>
      </x:c>
      <x:c r="E37" s="176" t="str">
        <x:v>test/native/fuzztest/dbpreferences_fuzzer/dbpreferences_fuzzer.cpp:93
符号：preferences_</x:v>
      </x:c>
      <x:c r="F37" s="176" t="str">
        <x:v>未运行目标派生 harness；Docker 内通用 TSan 正控 3/3 稳定检出数据竞争，原子固定对照 3/3 干净。
方法控制不证明抽样组件存在竞态。</x:v>
      </x:c>
      <x:c r="G37" s="195" t="str">
        <x:v>not_testable</x:v>
      </x:c>
      <x:c r="H3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7" s="191" t="str">
        <x:f>IFERROR(HYPERLINK("file:///D:/openHarmonyScanner/outputs/01a14d00-bc78-7ac2-9520-210d4b92b1ac/poc/index.json","无专用 PoC"),"无专用 PoC")</x:f>
        <x:v>无专用 PoC</x:v>
      </x:c>
    </x:row>
    <x:row r="38" ht="58" customHeight="1">
      <x:c r="A38" s="175" t="str">
        <x:v>distributeddatamgr_preferences
openharmony/distributeddatamgr_preferences
CR-0033</x:v>
      </x:c>
      <x:c r="B38" s="176" t="str">
        <x:v>ohscanner.cpp.shared_ptr_race</x:v>
      </x:c>
      <x:c r="C38" s="196" t="str">
        <x:v>高优先级</x:v>
      </x:c>
      <x:c r="D38" s="176" t="str">
        <x:v>ohcpp-shared-ptr-race-candidate-001 / CWE-362</x:v>
      </x:c>
      <x:c r="E38" s="176" t="str">
        <x:v>test/native/fuzztest/dbpreferences_fuzzer/dbpreferences_fuzzer.cpp:101
符号：preferences_</x:v>
      </x:c>
      <x:c r="F38" s="176" t="str">
        <x:v>未运行目标派生 harness；Docker 内通用 TSan 正控 3/3 稳定检出数据竞争，原子固定对照 3/3 干净。
方法控制不证明抽样组件存在竞态。</x:v>
      </x:c>
      <x:c r="G38" s="195" t="str">
        <x:v>not_testable</x:v>
      </x:c>
      <x:c r="H3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8" s="191" t="str">
        <x:f>IFERROR(HYPERLINK("file:///D:/openHarmonyScanner/outputs/01a14d00-bc78-7ac2-9520-210d4b92b1ac/poc/index.json","无专用 PoC"),"无专用 PoC")</x:f>
        <x:v>无专用 PoC</x:v>
      </x:c>
    </x:row>
    <x:row r="39" ht="58" customHeight="1">
      <x:c r="A39" s="175" t="str">
        <x:v>distributeddatamgr_preferences
openharmony/distributeddatamgr_preferences
CR-0034</x:v>
      </x:c>
      <x:c r="B39" s="176" t="str">
        <x:v>ohscanner.cpp.shared_ptr_race</x:v>
      </x:c>
      <x:c r="C39" s="196" t="str">
        <x:v>高优先级</x:v>
      </x:c>
      <x:c r="D39" s="176" t="str">
        <x:v>ohcpp-shared-ptr-race-candidate-001 / CWE-362</x:v>
      </x:c>
      <x:c r="E39" s="176" t="str">
        <x:v>test/native/fuzztest/dbpreferences_fuzzer/dbpreferences_fuzzer.cpp:102
符号：preferences_</x:v>
      </x:c>
      <x:c r="F39" s="176" t="str">
        <x:v>未运行目标派生 harness；Docker 内通用 TSan 正控 3/3 稳定检出数据竞争，原子固定对照 3/3 干净。
方法控制不证明抽样组件存在竞态。</x:v>
      </x:c>
      <x:c r="G39" s="195" t="str">
        <x:v>not_testable</x:v>
      </x:c>
      <x:c r="H3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9" s="191" t="str">
        <x:f>IFERROR(HYPERLINK("file:///D:/openHarmonyScanner/outputs/01a14d00-bc78-7ac2-9520-210d4b92b1ac/poc/index.json","无专用 PoC"),"无专用 PoC")</x:f>
        <x:v>无专用 PoC</x:v>
      </x:c>
    </x:row>
    <x:row r="40" ht="58" customHeight="1">
      <x:c r="A40" s="175" t="str">
        <x:v>distributeddatamgr_preferences
openharmony/distributeddatamgr_preferences
CR-0035</x:v>
      </x:c>
      <x:c r="B40" s="176" t="str">
        <x:v>ohscanner.cpp.shared_ptr_race</x:v>
      </x:c>
      <x:c r="C40" s="196" t="str">
        <x:v>高优先级</x:v>
      </x:c>
      <x:c r="D40" s="176" t="str">
        <x:v>ohcpp-shared-ptr-race-candidate-001 / CWE-362</x:v>
      </x:c>
      <x:c r="E40" s="176" t="str">
        <x:v>test/native/fuzztest/dbpreferences_fuzzer/dbpreferences_fuzzer.cpp:110
符号：preferences_</x:v>
      </x:c>
      <x:c r="F40" s="176" t="str">
        <x:v>未运行目标派生 harness；Docker 内通用 TSan 正控 3/3 稳定检出数据竞争，原子固定对照 3/3 干净。
方法控制不证明抽样组件存在竞态。</x:v>
      </x:c>
      <x:c r="G40" s="195" t="str">
        <x:v>not_testable</x:v>
      </x:c>
      <x:c r="H4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0" s="191" t="str">
        <x:f>IFERROR(HYPERLINK("file:///D:/openHarmonyScanner/outputs/01a14d00-bc78-7ac2-9520-210d4b92b1ac/poc/index.json","无专用 PoC"),"无专用 PoC")</x:f>
        <x:v>无专用 PoC</x:v>
      </x:c>
    </x:row>
    <x:row r="41" ht="58" customHeight="1">
      <x:c r="A41" s="175" t="str">
        <x:v>distributeddatamgr_preferences
openharmony/distributeddatamgr_preferences
CR-0036</x:v>
      </x:c>
      <x:c r="B41" s="176" t="str">
        <x:v>ohscanner.cpp.shared_ptr_race</x:v>
      </x:c>
      <x:c r="C41" s="196" t="str">
        <x:v>高优先级</x:v>
      </x:c>
      <x:c r="D41" s="176" t="str">
        <x:v>ohcpp-shared-ptr-race-candidate-001 / CWE-362</x:v>
      </x:c>
      <x:c r="E41" s="176" t="str">
        <x:v>test/native/fuzztest/dbpreferences_fuzzer/dbpreferences_fuzzer.cpp:111
符号：preferences_</x:v>
      </x:c>
      <x:c r="F41" s="176" t="str">
        <x:v>未运行目标派生 harness；Docker 内通用 TSan 正控 3/3 稳定检出数据竞争，原子固定对照 3/3 干净。
方法控制不证明抽样组件存在竞态。</x:v>
      </x:c>
      <x:c r="G41" s="195" t="str">
        <x:v>not_testable</x:v>
      </x:c>
      <x:c r="H4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1" s="191" t="str">
        <x:f>IFERROR(HYPERLINK("file:///D:/openHarmonyScanner/outputs/01a14d00-bc78-7ac2-9520-210d4b92b1ac/poc/index.json","无专用 PoC"),"无专用 PoC")</x:f>
        <x:v>无专用 PoC</x:v>
      </x:c>
    </x:row>
    <x:row r="42" ht="58" customHeight="1">
      <x:c r="A42" s="175" t="str">
        <x:v>distributeddatamgr_preferences
openharmony/distributeddatamgr_preferences
CR-0037</x:v>
      </x:c>
      <x:c r="B42" s="176" t="str">
        <x:v>ohscanner.cpp.shared_ptr_race</x:v>
      </x:c>
      <x:c r="C42" s="196" t="str">
        <x:v>高优先级</x:v>
      </x:c>
      <x:c r="D42" s="176" t="str">
        <x:v>ohcpp-shared-ptr-race-candidate-001 / CWE-362</x:v>
      </x:c>
      <x:c r="E42" s="176" t="str">
        <x:v>test/native/fuzztest/dbpreferences_fuzzer/dbpreferences_fuzzer.cpp:112
符号：preferences_</x:v>
      </x:c>
      <x:c r="F42" s="176" t="str">
        <x:v>未运行目标派生 harness；Docker 内通用 TSan 正控 3/3 稳定检出数据竞争，原子固定对照 3/3 干净。
方法控制不证明抽样组件存在竞态。</x:v>
      </x:c>
      <x:c r="G42" s="195" t="str">
        <x:v>not_testable</x:v>
      </x:c>
      <x:c r="H4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2" s="191" t="str">
        <x:f>IFERROR(HYPERLINK("file:///D:/openHarmonyScanner/outputs/01a14d00-bc78-7ac2-9520-210d4b92b1ac/poc/index.json","无专用 PoC"),"无专用 PoC")</x:f>
        <x:v>无专用 PoC</x:v>
      </x:c>
    </x:row>
    <x:row r="43" ht="58" customHeight="1">
      <x:c r="A43" s="175" t="str">
        <x:v>distributeddatamgr_preferences
openharmony/distributeddatamgr_preferences
CR-0038</x:v>
      </x:c>
      <x:c r="B43" s="176" t="str">
        <x:v>ohscanner.cpp.shared_ptr_race</x:v>
      </x:c>
      <x:c r="C43" s="196" t="str">
        <x:v>高优先级</x:v>
      </x:c>
      <x:c r="D43" s="176" t="str">
        <x:v>ohcpp-shared-ptr-race-candidate-001 / CWE-362</x:v>
      </x:c>
      <x:c r="E43" s="176" t="str">
        <x:v>test/native/fuzztest/dbpreferences_fuzzer/dbpreferences_fuzzer.cpp:121
符号：preferences_</x:v>
      </x:c>
      <x:c r="F43" s="176" t="str">
        <x:v>未运行目标派生 harness；Docker 内通用 TSan 正控 3/3 稳定检出数据竞争，原子固定对照 3/3 干净。
方法控制不证明抽样组件存在竞态。</x:v>
      </x:c>
      <x:c r="G43" s="195" t="str">
        <x:v>not_testable</x:v>
      </x:c>
      <x:c r="H4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3" s="191" t="str">
        <x:f>IFERROR(HYPERLINK("file:///D:/openHarmonyScanner/outputs/01a14d00-bc78-7ac2-9520-210d4b92b1ac/poc/index.json","无专用 PoC"),"无专用 PoC")</x:f>
        <x:v>无专用 PoC</x:v>
      </x:c>
    </x:row>
    <x:row r="44" ht="58" customHeight="1">
      <x:c r="A44" s="175" t="str">
        <x:v>distributeddatamgr_preferences
openharmony/distributeddatamgr_preferences
CR-0039</x:v>
      </x:c>
      <x:c r="B44" s="176" t="str">
        <x:v>ohscanner.cpp.shared_ptr_race</x:v>
      </x:c>
      <x:c r="C44" s="196" t="str">
        <x:v>高优先级</x:v>
      </x:c>
      <x:c r="D44" s="176" t="str">
        <x:v>ohcpp-shared-ptr-race-candidate-001 / CWE-362</x:v>
      </x:c>
      <x:c r="E44" s="176" t="str">
        <x:v>test/native/fuzztest/dbpreferences_fuzzer/dbpreferences_fuzzer.cpp:122
符号：preferences_</x:v>
      </x:c>
      <x:c r="F44" s="176" t="str">
        <x:v>未运行目标派生 harness；Docker 内通用 TSan 正控 3/3 稳定检出数据竞争，原子固定对照 3/3 干净。
方法控制不证明抽样组件存在竞态。</x:v>
      </x:c>
      <x:c r="G44" s="195" t="str">
        <x:v>not_testable</x:v>
      </x:c>
      <x:c r="H4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4" s="191" t="str">
        <x:f>IFERROR(HYPERLINK("file:///D:/openHarmonyScanner/outputs/01a14d00-bc78-7ac2-9520-210d4b92b1ac/poc/index.json","无专用 PoC"),"无专用 PoC")</x:f>
        <x:v>无专用 PoC</x:v>
      </x:c>
    </x:row>
    <x:row r="45" ht="58" customHeight="1">
      <x:c r="A45" s="175" t="str">
        <x:v>distributeddatamgr_preferences
openharmony/distributeddatamgr_preferences
CR-0040</x:v>
      </x:c>
      <x:c r="B45" s="176" t="str">
        <x:v>ohscanner.cpp.shared_ptr_race</x:v>
      </x:c>
      <x:c r="C45" s="196" t="str">
        <x:v>高优先级</x:v>
      </x:c>
      <x:c r="D45" s="176" t="str">
        <x:v>ohcpp-shared-ptr-race-candidate-001 / CWE-362</x:v>
      </x:c>
      <x:c r="E45" s="176" t="str">
        <x:v>test/native/fuzztest/dbpreferences_fuzzer/dbpreferences_fuzzer.cpp:123
符号：preferences_</x:v>
      </x:c>
      <x:c r="F45" s="176" t="str">
        <x:v>未运行目标派生 harness；Docker 内通用 TSan 正控 3/3 稳定检出数据竞争，原子固定对照 3/3 干净。
方法控制不证明抽样组件存在竞态。</x:v>
      </x:c>
      <x:c r="G45" s="195" t="str">
        <x:v>not_testable</x:v>
      </x:c>
      <x:c r="H4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5" s="191" t="str">
        <x:f>IFERROR(HYPERLINK("file:///D:/openHarmonyScanner/outputs/01a14d00-bc78-7ac2-9520-210d4b92b1ac/poc/index.json","无专用 PoC"),"无专用 PoC")</x:f>
        <x:v>无专用 PoC</x:v>
      </x:c>
    </x:row>
    <x:row r="46" ht="58" customHeight="1">
      <x:c r="A46" s="175" t="str">
        <x:v>distributeddatamgr_preferences
openharmony/distributeddatamgr_preferences
CR-0041</x:v>
      </x:c>
      <x:c r="B46" s="176" t="str">
        <x:v>ohscanner.cpp.shared_ptr_race</x:v>
      </x:c>
      <x:c r="C46" s="196" t="str">
        <x:v>高优先级</x:v>
      </x:c>
      <x:c r="D46" s="176" t="str">
        <x:v>ohcpp-shared-ptr-race-candidate-001 / CWE-362</x:v>
      </x:c>
      <x:c r="E46" s="176" t="str">
        <x:v>test/native/fuzztest/dbpreferencesbasevalue_fuzzer/dbpreferencesbasevalue_fuzzer.cpp:43
符号：preferences_</x:v>
      </x:c>
      <x:c r="F46" s="176" t="str">
        <x:v>未运行目标派生 harness；Docker 内通用 TSan 正控 3/3 稳定检出数据竞争，原子固定对照 3/3 干净。
方法控制不证明抽样组件存在竞态。</x:v>
      </x:c>
      <x:c r="G46" s="195" t="str">
        <x:v>not_testable</x:v>
      </x:c>
      <x:c r="H4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6" s="191" t="str">
        <x:f>IFERROR(HYPERLINK("file:///D:/openHarmonyScanner/outputs/01a14d00-bc78-7ac2-9520-210d4b92b1ac/poc/index.json","无专用 PoC"),"无专用 PoC")</x:f>
        <x:v>无专用 PoC</x:v>
      </x:c>
    </x:row>
    <x:row r="47" ht="58" customHeight="1">
      <x:c r="A47" s="175" t="str">
        <x:v>distributeddatamgr_preferences
openharmony/distributeddatamgr_preferences
CR-0042</x:v>
      </x:c>
      <x:c r="B47" s="176" t="str">
        <x:v>ohscanner.cpp.shared_ptr_race</x:v>
      </x:c>
      <x:c r="C47" s="196" t="str">
        <x:v>高优先级</x:v>
      </x:c>
      <x:c r="D47" s="176" t="str">
        <x:v>ohcpp-shared-ptr-race-candidate-001 / CWE-362</x:v>
      </x:c>
      <x:c r="E47" s="176" t="str">
        <x:v>test/native/fuzztest/dbpreferencesbasevalue_fuzzer/dbpreferencesbasevalue_fuzzer.cpp:48
符号：preferences_</x:v>
      </x:c>
      <x:c r="F47" s="176" t="str">
        <x:v>未运行目标派生 harness；Docker 内通用 TSan 正控 3/3 稳定检出数据竞争，原子固定对照 3/3 干净。
方法控制不证明抽样组件存在竞态。</x:v>
      </x:c>
      <x:c r="G47" s="195" t="str">
        <x:v>not_testable</x:v>
      </x:c>
      <x:c r="H4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7" s="191" t="str">
        <x:f>IFERROR(HYPERLINK("file:///D:/openHarmonyScanner/outputs/01a14d00-bc78-7ac2-9520-210d4b92b1ac/poc/index.json","无专用 PoC"),"无专用 PoC")</x:f>
        <x:v>无专用 PoC</x:v>
      </x:c>
    </x:row>
    <x:row r="48" ht="58" customHeight="1">
      <x:c r="A48" s="175" t="str">
        <x:v>distributeddatamgr_preferences
openharmony/distributeddatamgr_preferences
CR-0043</x:v>
      </x:c>
      <x:c r="B48" s="176" t="str">
        <x:v>ohscanner.cpp.shared_ptr_race</x:v>
      </x:c>
      <x:c r="C48" s="196" t="str">
        <x:v>高优先级</x:v>
      </x:c>
      <x:c r="D48" s="176" t="str">
        <x:v>ohcpp-shared-ptr-race-candidate-001 / CWE-362</x:v>
      </x:c>
      <x:c r="E48" s="176" t="str">
        <x:v>test/native/fuzztest/dbpreferencesbasevalue_fuzzer/dbpreferencesbasevalue_fuzzer.cpp:50
符号：preferences_</x:v>
      </x:c>
      <x:c r="F48" s="176" t="str">
        <x:v>未运行目标派生 harness；Docker 内通用 TSan 正控 3/3 稳定检出数据竞争，原子固定对照 3/3 干净。
方法控制不证明抽样组件存在竞态。</x:v>
      </x:c>
      <x:c r="G48" s="195" t="str">
        <x:v>not_testable</x:v>
      </x:c>
      <x:c r="H4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8" s="191" t="str">
        <x:f>IFERROR(HYPERLINK("file:///D:/openHarmonyScanner/outputs/01a14d00-bc78-7ac2-9520-210d4b92b1ac/poc/index.json","无专用 PoC"),"无专用 PoC")</x:f>
        <x:v>无专用 PoC</x:v>
      </x:c>
    </x:row>
    <x:row r="49" ht="58" customHeight="1">
      <x:c r="A49" s="175" t="str">
        <x:v>distributeddatamgr_preferences
openharmony/distributeddatamgr_preferences
CR-0044</x:v>
      </x:c>
      <x:c r="B49" s="176" t="str">
        <x:v>ohscanner.cpp.shared_ptr_race</x:v>
      </x:c>
      <x:c r="C49" s="196" t="str">
        <x:v>高优先级</x:v>
      </x:c>
      <x:c r="D49" s="176" t="str">
        <x:v>ohcpp-shared-ptr-race-candidate-001 / CWE-362</x:v>
      </x:c>
      <x:c r="E49" s="176" t="str">
        <x:v>test/native/fuzztest/dbpreferencesbasevalue_fuzzer/dbpreferencesbasevalue_fuzzer.cpp:65
符号：preferences_</x:v>
      </x:c>
      <x:c r="F49" s="176" t="str">
        <x:v>未运行目标派生 harness；Docker 内通用 TSan 正控 3/3 稳定检出数据竞争，原子固定对照 3/3 干净。
方法控制不证明抽样组件存在竞态。</x:v>
      </x:c>
      <x:c r="G49" s="195" t="str">
        <x:v>not_testable</x:v>
      </x:c>
      <x:c r="H4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49" s="191" t="str">
        <x:f>IFERROR(HYPERLINK("file:///D:/openHarmonyScanner/outputs/01a14d00-bc78-7ac2-9520-210d4b92b1ac/poc/index.json","无专用 PoC"),"无专用 PoC")</x:f>
        <x:v>无专用 PoC</x:v>
      </x:c>
    </x:row>
    <x:row r="50" ht="58" customHeight="1">
      <x:c r="A50" s="175" t="str">
        <x:v>distributeddatamgr_preferences
openharmony/distributeddatamgr_preferences
CR-0045</x:v>
      </x:c>
      <x:c r="B50" s="176" t="str">
        <x:v>ohscanner.cpp.shared_ptr_race</x:v>
      </x:c>
      <x:c r="C50" s="196" t="str">
        <x:v>高优先级</x:v>
      </x:c>
      <x:c r="D50" s="176" t="str">
        <x:v>ohcpp-shared-ptr-race-candidate-001 / CWE-362</x:v>
      </x:c>
      <x:c r="E50" s="176" t="str">
        <x:v>test/native/fuzztest/dbpreferencesbasevalue_fuzzer/dbpreferencesbasevalue_fuzzer.cpp:66
符号：preferences_</x:v>
      </x:c>
      <x:c r="F50" s="176" t="str">
        <x:v>未运行目标派生 harness；Docker 内通用 TSan 正控 3/3 稳定检出数据竞争，原子固定对照 3/3 干净。
方法控制不证明抽样组件存在竞态。</x:v>
      </x:c>
      <x:c r="G50" s="195" t="str">
        <x:v>not_testable</x:v>
      </x:c>
      <x:c r="H5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0" s="191" t="str">
        <x:f>IFERROR(HYPERLINK("file:///D:/openHarmonyScanner/outputs/01a14d00-bc78-7ac2-9520-210d4b92b1ac/poc/index.json","无专用 PoC"),"无专用 PoC")</x:f>
        <x:v>无专用 PoC</x:v>
      </x:c>
    </x:row>
    <x:row r="51" ht="58" customHeight="1">
      <x:c r="A51" s="175" t="str">
        <x:v>distributeddatamgr_preferences
openharmony/distributeddatamgr_preferences
CR-0046</x:v>
      </x:c>
      <x:c r="B51" s="176" t="str">
        <x:v>ohscanner.cpp.shared_ptr_race</x:v>
      </x:c>
      <x:c r="C51" s="196" t="str">
        <x:v>高优先级</x:v>
      </x:c>
      <x:c r="D51" s="176" t="str">
        <x:v>ohcpp-shared-ptr-race-candidate-001 / CWE-362</x:v>
      </x:c>
      <x:c r="E51" s="176" t="str">
        <x:v>test/native/fuzztest/dbpreferencesbasevalue_fuzzer/dbpreferencesbasevalue_fuzzer.cpp:74
符号：preferences_</x:v>
      </x:c>
      <x:c r="F51" s="176" t="str">
        <x:v>未运行目标派生 harness；Docker 内通用 TSan 正控 3/3 稳定检出数据竞争，原子固定对照 3/3 干净。
方法控制不证明抽样组件存在竞态。</x:v>
      </x:c>
      <x:c r="G51" s="195" t="str">
        <x:v>not_testable</x:v>
      </x:c>
      <x:c r="H5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1" s="191" t="str">
        <x:f>IFERROR(HYPERLINK("file:///D:/openHarmonyScanner/outputs/01a14d00-bc78-7ac2-9520-210d4b92b1ac/poc/index.json","无专用 PoC"),"无专用 PoC")</x:f>
        <x:v>无专用 PoC</x:v>
      </x:c>
    </x:row>
    <x:row r="52" ht="58" customHeight="1">
      <x:c r="A52" s="175" t="str">
        <x:v>distributeddatamgr_preferences
openharmony/distributeddatamgr_preferences
CR-0047</x:v>
      </x:c>
      <x:c r="B52" s="176" t="str">
        <x:v>ohscanner.cpp.shared_ptr_race</x:v>
      </x:c>
      <x:c r="C52" s="196" t="str">
        <x:v>高优先级</x:v>
      </x:c>
      <x:c r="D52" s="176" t="str">
        <x:v>ohcpp-shared-ptr-race-candidate-001 / CWE-362</x:v>
      </x:c>
      <x:c r="E52" s="176" t="str">
        <x:v>test/native/fuzztest/dbpreferencesbasevalue_fuzzer/dbpreferencesbasevalue_fuzzer.cpp:75
符号：preferences_</x:v>
      </x:c>
      <x:c r="F52" s="176" t="str">
        <x:v>未运行目标派生 harness；Docker 内通用 TSan 正控 3/3 稳定检出数据竞争，原子固定对照 3/3 干净。
方法控制不证明抽样组件存在竞态。</x:v>
      </x:c>
      <x:c r="G52" s="195" t="str">
        <x:v>not_testable</x:v>
      </x:c>
      <x:c r="H5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2" s="191" t="str">
        <x:f>IFERROR(HYPERLINK("file:///D:/openHarmonyScanner/outputs/01a14d00-bc78-7ac2-9520-210d4b92b1ac/poc/index.json","无专用 PoC"),"无专用 PoC")</x:f>
        <x:v>无专用 PoC</x:v>
      </x:c>
    </x:row>
    <x:row r="53" ht="58" customHeight="1">
      <x:c r="A53" s="175" t="str">
        <x:v>distributeddatamgr_preferences
openharmony/distributeddatamgr_preferences
CR-0048</x:v>
      </x:c>
      <x:c r="B53" s="176" t="str">
        <x:v>ohscanner.cpp.shared_ptr_race</x:v>
      </x:c>
      <x:c r="C53" s="196" t="str">
        <x:v>高优先级</x:v>
      </x:c>
      <x:c r="D53" s="176" t="str">
        <x:v>ohcpp-shared-ptr-race-candidate-001 / CWE-362</x:v>
      </x:c>
      <x:c r="E53" s="176" t="str">
        <x:v>test/native/fuzztest/dbpreferencesbasevalue_fuzzer/dbpreferencesbasevalue_fuzzer.cpp:83
符号：preferences_</x:v>
      </x:c>
      <x:c r="F53" s="176" t="str">
        <x:v>未运行目标派生 harness；Docker 内通用 TSan 正控 3/3 稳定检出数据竞争，原子固定对照 3/3 干净。
方法控制不证明抽样组件存在竞态。</x:v>
      </x:c>
      <x:c r="G53" s="195" t="str">
        <x:v>not_testable</x:v>
      </x:c>
      <x:c r="H5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3" s="191" t="str">
        <x:f>IFERROR(HYPERLINK("file:///D:/openHarmonyScanner/outputs/01a14d00-bc78-7ac2-9520-210d4b92b1ac/poc/index.json","无专用 PoC"),"无专用 PoC")</x:f>
        <x:v>无专用 PoC</x:v>
      </x:c>
    </x:row>
    <x:row r="54" ht="58" customHeight="1">
      <x:c r="A54" s="175" t="str">
        <x:v>distributeddatamgr_preferences
openharmony/distributeddatamgr_preferences
CR-0049</x:v>
      </x:c>
      <x:c r="B54" s="176" t="str">
        <x:v>ohscanner.cpp.shared_ptr_race</x:v>
      </x:c>
      <x:c r="C54" s="196" t="str">
        <x:v>高优先级</x:v>
      </x:c>
      <x:c r="D54" s="176" t="str">
        <x:v>ohcpp-shared-ptr-race-candidate-001 / CWE-362</x:v>
      </x:c>
      <x:c r="E54" s="176" t="str">
        <x:v>test/native/fuzztest/dbpreferencesbasevalue_fuzzer/dbpreferencesbasevalue_fuzzer.cpp:91
符号：preferences_</x:v>
      </x:c>
      <x:c r="F54" s="176" t="str">
        <x:v>未运行目标派生 harness；Docker 内通用 TSan 正控 3/3 稳定检出数据竞争，原子固定对照 3/3 干净。
方法控制不证明抽样组件存在竞态。</x:v>
      </x:c>
      <x:c r="G54" s="195" t="str">
        <x:v>not_testable</x:v>
      </x:c>
      <x:c r="H5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4" s="191" t="str">
        <x:f>IFERROR(HYPERLINK("file:///D:/openHarmonyScanner/outputs/01a14d00-bc78-7ac2-9520-210d4b92b1ac/poc/index.json","无专用 PoC"),"无专用 PoC")</x:f>
        <x:v>无专用 PoC</x:v>
      </x:c>
    </x:row>
    <x:row r="55" ht="58" customHeight="1">
      <x:c r="A55" s="175" t="str">
        <x:v>distributeddatamgr_preferences
openharmony/distributeddatamgr_preferences
CR-0050</x:v>
      </x:c>
      <x:c r="B55" s="176" t="str">
        <x:v>ohscanner.cpp.shared_ptr_race</x:v>
      </x:c>
      <x:c r="C55" s="196" t="str">
        <x:v>高优先级</x:v>
      </x:c>
      <x:c r="D55" s="176" t="str">
        <x:v>ohcpp-shared-ptr-race-candidate-001 / CWE-362</x:v>
      </x:c>
      <x:c r="E55" s="176" t="str">
        <x:v>test/native/fuzztest/dbpreferencesbasevalue_fuzzer/dbpreferencesbasevalue_fuzzer.cpp:92
符号：preferences_</x:v>
      </x:c>
      <x:c r="F55" s="176" t="str">
        <x:v>未运行目标派生 harness；Docker 内通用 TSan 正控 3/3 稳定检出数据竞争，原子固定对照 3/3 干净。
方法控制不证明抽样组件存在竞态。</x:v>
      </x:c>
      <x:c r="G55" s="195" t="str">
        <x:v>not_testable</x:v>
      </x:c>
      <x:c r="H5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5" s="191" t="str">
        <x:f>IFERROR(HYPERLINK("file:///D:/openHarmonyScanner/outputs/01a14d00-bc78-7ac2-9520-210d4b92b1ac/poc/index.json","无专用 PoC"),"无专用 PoC")</x:f>
        <x:v>无专用 PoC</x:v>
      </x:c>
    </x:row>
    <x:row r="56" ht="58" customHeight="1">
      <x:c r="A56" s="175" t="str">
        <x:v>distributeddatamgr_preferences
openharmony/distributeddatamgr_preferences
CR-0051</x:v>
      </x:c>
      <x:c r="B56" s="176" t="str">
        <x:v>ohscanner.cpp.shared_ptr_race</x:v>
      </x:c>
      <x:c r="C56" s="196" t="str">
        <x:v>高优先级</x:v>
      </x:c>
      <x:c r="D56" s="176" t="str">
        <x:v>ohcpp-shared-ptr-race-candidate-001 / CWE-362</x:v>
      </x:c>
      <x:c r="E56" s="176" t="str">
        <x:v>test/native/fuzztest/dbpreferencesbasevalue_fuzzer/dbpreferencesbasevalue_fuzzer.cpp:100
符号：preferences_</x:v>
      </x:c>
      <x:c r="F56" s="176" t="str">
        <x:v>未运行目标派生 harness；Docker 内通用 TSan 正控 3/3 稳定检出数据竞争，原子固定对照 3/3 干净。
方法控制不证明抽样组件存在竞态。</x:v>
      </x:c>
      <x:c r="G56" s="195" t="str">
        <x:v>not_testable</x:v>
      </x:c>
      <x:c r="H5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6" s="191" t="str">
        <x:f>IFERROR(HYPERLINK("file:///D:/openHarmonyScanner/outputs/01a14d00-bc78-7ac2-9520-210d4b92b1ac/poc/index.json","无专用 PoC"),"无专用 PoC")</x:f>
        <x:v>无专用 PoC</x:v>
      </x:c>
    </x:row>
    <x:row r="57" ht="58" customHeight="1">
      <x:c r="A57" s="175" t="str">
        <x:v>distributeddatamgr_preferences
openharmony/distributeddatamgr_preferences
CR-0052</x:v>
      </x:c>
      <x:c r="B57" s="176" t="str">
        <x:v>ohscanner.cpp.shared_ptr_race</x:v>
      </x:c>
      <x:c r="C57" s="196" t="str">
        <x:v>高优先级</x:v>
      </x:c>
      <x:c r="D57" s="176" t="str">
        <x:v>ohcpp-shared-ptr-race-candidate-001 / CWE-362</x:v>
      </x:c>
      <x:c r="E57" s="176" t="str">
        <x:v>test/native/fuzztest/dbpreferencesbasevalue_fuzzer/dbpreferencesbasevalue_fuzzer.cpp:108
符号：preferences_</x:v>
      </x:c>
      <x:c r="F57" s="176" t="str">
        <x:v>未运行目标派生 harness；Docker 内通用 TSan 正控 3/3 稳定检出数据竞争，原子固定对照 3/3 干净。
方法控制不证明抽样组件存在竞态。</x:v>
      </x:c>
      <x:c r="G57" s="195" t="str">
        <x:v>not_testable</x:v>
      </x:c>
      <x:c r="H5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7" s="191" t="str">
        <x:f>IFERROR(HYPERLINK("file:///D:/openHarmonyScanner/outputs/01a14d00-bc78-7ac2-9520-210d4b92b1ac/poc/index.json","无专用 PoC"),"无专用 PoC")</x:f>
        <x:v>无专用 PoC</x:v>
      </x:c>
    </x:row>
    <x:row r="58" ht="58" customHeight="1">
      <x:c r="A58" s="175" t="str">
        <x:v>distributeddatamgr_preferences
openharmony/distributeddatamgr_preferences
CR-0053</x:v>
      </x:c>
      <x:c r="B58" s="176" t="str">
        <x:v>ohscanner.cpp.shared_ptr_race</x:v>
      </x:c>
      <x:c r="C58" s="196" t="str">
        <x:v>高优先级</x:v>
      </x:c>
      <x:c r="D58" s="176" t="str">
        <x:v>ohcpp-shared-ptr-race-candidate-001 / CWE-362</x:v>
      </x:c>
      <x:c r="E58" s="176" t="str">
        <x:v>test/native/fuzztest/dbpreferencesbasevalue_fuzzer/dbpreferencesbasevalue_fuzzer.cpp:109
符号：preferences_</x:v>
      </x:c>
      <x:c r="F58" s="176" t="str">
        <x:v>未运行目标派生 harness；Docker 内通用 TSan 正控 3/3 稳定检出数据竞争，原子固定对照 3/3 干净。
方法控制不证明抽样组件存在竞态。</x:v>
      </x:c>
      <x:c r="G58" s="195" t="str">
        <x:v>not_testable</x:v>
      </x:c>
      <x:c r="H5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8" s="191" t="str">
        <x:f>IFERROR(HYPERLINK("file:///D:/openHarmonyScanner/outputs/01a14d00-bc78-7ac2-9520-210d4b92b1ac/poc/index.json","无专用 PoC"),"无专用 PoC")</x:f>
        <x:v>无专用 PoC</x:v>
      </x:c>
    </x:row>
    <x:row r="59" ht="58" customHeight="1">
      <x:c r="A59" s="175" t="str">
        <x:v>distributeddatamgr_preferences
openharmony/distributeddatamgr_preferences
CR-0054</x:v>
      </x:c>
      <x:c r="B59" s="176" t="str">
        <x:v>ohscanner.cpp.shared_ptr_race</x:v>
      </x:c>
      <x:c r="C59" s="196" t="str">
        <x:v>高优先级</x:v>
      </x:c>
      <x:c r="D59" s="176" t="str">
        <x:v>ohcpp-shared-ptr-race-candidate-001 / CWE-362</x:v>
      </x:c>
      <x:c r="E59" s="176" t="str">
        <x:v>test/native/fuzztest/dbpreferencesbasevalue_fuzzer/dbpreferencesbasevalue_fuzzer.cpp:117
符号：preferences_</x:v>
      </x:c>
      <x:c r="F59" s="176" t="str">
        <x:v>未运行目标派生 harness；Docker 内通用 TSan 正控 3/3 稳定检出数据竞争，原子固定对照 3/3 干净。
方法控制不证明抽样组件存在竞态。</x:v>
      </x:c>
      <x:c r="G59" s="195" t="str">
        <x:v>not_testable</x:v>
      </x:c>
      <x:c r="H5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59" s="191" t="str">
        <x:f>IFERROR(HYPERLINK("file:///D:/openHarmonyScanner/outputs/01a14d00-bc78-7ac2-9520-210d4b92b1ac/poc/index.json","无专用 PoC"),"无专用 PoC")</x:f>
        <x:v>无专用 PoC</x:v>
      </x:c>
    </x:row>
    <x:row r="60" ht="58" customHeight="1">
      <x:c r="A60" s="175" t="str">
        <x:v>distributeddatamgr_preferences
openharmony/distributeddatamgr_preferences
CR-0055</x:v>
      </x:c>
      <x:c r="B60" s="176" t="str">
        <x:v>ohscanner.cpp.shared_ptr_race</x:v>
      </x:c>
      <x:c r="C60" s="196" t="str">
        <x:v>高优先级</x:v>
      </x:c>
      <x:c r="D60" s="176" t="str">
        <x:v>ohcpp-shared-ptr-race-candidate-001 / CWE-362</x:v>
      </x:c>
      <x:c r="E60" s="176" t="str">
        <x:v>test/native/fuzztest/dbpreferencesbasevalue_fuzzer/dbpreferencesbasevalue_fuzzer.cpp:125
符号：preferences_</x:v>
      </x:c>
      <x:c r="F60" s="176" t="str">
        <x:v>未运行目标派生 harness；Docker 内通用 TSan 正控 3/3 稳定检出数据竞争，原子固定对照 3/3 干净。
方法控制不证明抽样组件存在竞态。</x:v>
      </x:c>
      <x:c r="G60" s="195" t="str">
        <x:v>not_testable</x:v>
      </x:c>
      <x:c r="H6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0" s="191" t="str">
        <x:f>IFERROR(HYPERLINK("file:///D:/openHarmonyScanner/outputs/01a14d00-bc78-7ac2-9520-210d4b92b1ac/poc/index.json","无专用 PoC"),"无专用 PoC")</x:f>
        <x:v>无专用 PoC</x:v>
      </x:c>
    </x:row>
    <x:row r="61" ht="58" customHeight="1">
      <x:c r="A61" s="175" t="str">
        <x:v>distributeddatamgr_preferences
openharmony/distributeddatamgr_preferences
CR-0056</x:v>
      </x:c>
      <x:c r="B61" s="176" t="str">
        <x:v>ohscanner.cpp.shared_ptr_race</x:v>
      </x:c>
      <x:c r="C61" s="196" t="str">
        <x:v>高优先级</x:v>
      </x:c>
      <x:c r="D61" s="176" t="str">
        <x:v>ohcpp-shared-ptr-race-candidate-001 / CWE-362</x:v>
      </x:c>
      <x:c r="E61" s="176" t="str">
        <x:v>test/native/fuzztest/dbpreferencesbasevalue_fuzzer/dbpreferencesbasevalue_fuzzer.cpp:126
符号：preferences_</x:v>
      </x:c>
      <x:c r="F61" s="176" t="str">
        <x:v>未运行目标派生 harness；Docker 内通用 TSan 正控 3/3 稳定检出数据竞争，原子固定对照 3/3 干净。
方法控制不证明抽样组件存在竞态。</x:v>
      </x:c>
      <x:c r="G61" s="195" t="str">
        <x:v>not_testable</x:v>
      </x:c>
      <x:c r="H6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1" s="191" t="str">
        <x:f>IFERROR(HYPERLINK("file:///D:/openHarmonyScanner/outputs/01a14d00-bc78-7ac2-9520-210d4b92b1ac/poc/index.json","无专用 PoC"),"无专用 PoC")</x:f>
        <x:v>无专用 PoC</x:v>
      </x:c>
    </x:row>
    <x:row r="62" ht="58" customHeight="1">
      <x:c r="A62" s="175" t="str">
        <x:v>distributeddatamgr_preferences
openharmony/distributeddatamgr_preferences
CR-0057</x:v>
      </x:c>
      <x:c r="B62" s="176" t="str">
        <x:v>ohscanner.cpp.shared_ptr_race</x:v>
      </x:c>
      <x:c r="C62" s="196" t="str">
        <x:v>高优先级</x:v>
      </x:c>
      <x:c r="D62" s="176" t="str">
        <x:v>ohcpp-shared-ptr-race-candidate-001 / CWE-362</x:v>
      </x:c>
      <x:c r="E62" s="176" t="str">
        <x:v>test/native/fuzztest/dbpreferencesbasevalue_fuzzer/dbpreferencesbasevalue_fuzzer.cpp:134
符号：preferences_</x:v>
      </x:c>
      <x:c r="F62" s="176" t="str">
        <x:v>未运行目标派生 harness；Docker 内通用 TSan 正控 3/3 稳定检出数据竞争，原子固定对照 3/3 干净。
方法控制不证明抽样组件存在竞态。</x:v>
      </x:c>
      <x:c r="G62" s="195" t="str">
        <x:v>not_testable</x:v>
      </x:c>
      <x:c r="H6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2" s="191" t="str">
        <x:f>IFERROR(HYPERLINK("file:///D:/openHarmonyScanner/outputs/01a14d00-bc78-7ac2-9520-210d4b92b1ac/poc/index.json","无专用 PoC"),"无专用 PoC")</x:f>
        <x:v>无专用 PoC</x:v>
      </x:c>
    </x:row>
    <x:row r="63" ht="58" customHeight="1">
      <x:c r="A63" s="175" t="str">
        <x:v>distributeddatamgr_preferences
openharmony/distributeddatamgr_preferences
CR-0058</x:v>
      </x:c>
      <x:c r="B63" s="176" t="str">
        <x:v>ohscanner.cpp.shared_ptr_race</x:v>
      </x:c>
      <x:c r="C63" s="196" t="str">
        <x:v>高优先级</x:v>
      </x:c>
      <x:c r="D63" s="176" t="str">
        <x:v>ohcpp-shared-ptr-race-candidate-001 / CWE-362</x:v>
      </x:c>
      <x:c r="E63" s="176" t="str">
        <x:v>test/native/fuzztest/dbpreferencesbasevalue_fuzzer/dbpreferencesbasevalue_fuzzer.cpp:142
符号：preferences_</x:v>
      </x:c>
      <x:c r="F63" s="176" t="str">
        <x:v>未运行目标派生 harness；Docker 内通用 TSan 正控 3/3 稳定检出数据竞争，原子固定对照 3/3 干净。
方法控制不证明抽样组件存在竞态。</x:v>
      </x:c>
      <x:c r="G63" s="195" t="str">
        <x:v>not_testable</x:v>
      </x:c>
      <x:c r="H6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3" s="191" t="str">
        <x:f>IFERROR(HYPERLINK("file:///D:/openHarmonyScanner/outputs/01a14d00-bc78-7ac2-9520-210d4b92b1ac/poc/index.json","无专用 PoC"),"无专用 PoC")</x:f>
        <x:v>无专用 PoC</x:v>
      </x:c>
    </x:row>
    <x:row r="64" ht="58" customHeight="1">
      <x:c r="A64" s="175" t="str">
        <x:v>distributeddatamgr_preferences
openharmony/distributeddatamgr_preferences
CR-0059</x:v>
      </x:c>
      <x:c r="B64" s="176" t="str">
        <x:v>ohscanner.cpp.shared_ptr_race</x:v>
      </x:c>
      <x:c r="C64" s="196" t="str">
        <x:v>高优先级</x:v>
      </x:c>
      <x:c r="D64" s="176" t="str">
        <x:v>ohcpp-shared-ptr-race-candidate-001 / CWE-362</x:v>
      </x:c>
      <x:c r="E64" s="176" t="str">
        <x:v>test/native/fuzztest/dbpreferencesbasevalue_fuzzer/dbpreferencesbasevalue_fuzzer.cpp:143
符号：preferences_</x:v>
      </x:c>
      <x:c r="F64" s="176" t="str">
        <x:v>未运行目标派生 harness；Docker 内通用 TSan 正控 3/3 稳定检出数据竞争，原子固定对照 3/3 干净。
方法控制不证明抽样组件存在竞态。</x:v>
      </x:c>
      <x:c r="G64" s="195" t="str">
        <x:v>not_testable</x:v>
      </x:c>
      <x:c r="H6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4" s="191" t="str">
        <x:f>IFERROR(HYPERLINK("file:///D:/openHarmonyScanner/outputs/01a14d00-bc78-7ac2-9520-210d4b92b1ac/poc/index.json","无专用 PoC"),"无专用 PoC")</x:f>
        <x:v>无专用 PoC</x:v>
      </x:c>
    </x:row>
    <x:row r="65" ht="58" customHeight="1">
      <x:c r="A65" s="175" t="str">
        <x:v>distributeddatamgr_preferences
openharmony/distributeddatamgr_preferences
CR-0060</x:v>
      </x:c>
      <x:c r="B65" s="176" t="str">
        <x:v>ohscanner.cpp.shared_ptr_race</x:v>
      </x:c>
      <x:c r="C65" s="196" t="str">
        <x:v>高优先级</x:v>
      </x:c>
      <x:c r="D65" s="176" t="str">
        <x:v>ohcpp-shared-ptr-race-candidate-001 / CWE-362</x:v>
      </x:c>
      <x:c r="E65" s="176" t="str">
        <x:v>test/native/fuzztest/dbpreferencesbasevalue_fuzzer/dbpreferencesbasevalue_fuzzer.cpp:151
符号：preferences_</x:v>
      </x:c>
      <x:c r="F65" s="176" t="str">
        <x:v>未运行目标派生 harness；Docker 内通用 TSan 正控 3/3 稳定检出数据竞争，原子固定对照 3/3 干净。
方法控制不证明抽样组件存在竞态。</x:v>
      </x:c>
      <x:c r="G65" s="195" t="str">
        <x:v>not_testable</x:v>
      </x:c>
      <x:c r="H6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5" s="191" t="str">
        <x:f>IFERROR(HYPERLINK("file:///D:/openHarmonyScanner/outputs/01a14d00-bc78-7ac2-9520-210d4b92b1ac/poc/index.json","无专用 PoC"),"无专用 PoC")</x:f>
        <x:v>无专用 PoC</x:v>
      </x:c>
    </x:row>
    <x:row r="66" ht="58" customHeight="1">
      <x:c r="A66" s="175" t="str">
        <x:v>distributeddatamgr_preferences
openharmony/distributeddatamgr_preferences
CR-0061</x:v>
      </x:c>
      <x:c r="B66" s="176" t="str">
        <x:v>ohscanner.cpp.shared_ptr_race</x:v>
      </x:c>
      <x:c r="C66" s="196" t="str">
        <x:v>高优先级</x:v>
      </x:c>
      <x:c r="D66" s="176" t="str">
        <x:v>ohcpp-shared-ptr-race-candidate-001 / CWE-362</x:v>
      </x:c>
      <x:c r="E66" s="176" t="str">
        <x:v>test/native/fuzztest/dbpreferencesbasevalue_fuzzer/dbpreferencesbasevalue_fuzzer.cpp:159
符号：preferences_</x:v>
      </x:c>
      <x:c r="F66" s="176" t="str">
        <x:v>未运行目标派生 harness；Docker 内通用 TSan 正控 3/3 稳定检出数据竞争，原子固定对照 3/3 干净。
方法控制不证明抽样组件存在竞态。</x:v>
      </x:c>
      <x:c r="G66" s="195" t="str">
        <x:v>not_testable</x:v>
      </x:c>
      <x:c r="H6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6" s="191" t="str">
        <x:f>IFERROR(HYPERLINK("file:///D:/openHarmonyScanner/outputs/01a14d00-bc78-7ac2-9520-210d4b92b1ac/poc/index.json","无专用 PoC"),"无专用 PoC")</x:f>
        <x:v>无专用 PoC</x:v>
      </x:c>
    </x:row>
    <x:row r="67" ht="58" customHeight="1">
      <x:c r="A67" s="175" t="str">
        <x:v>distributeddatamgr_preferences
openharmony/distributeddatamgr_preferences
CR-0062</x:v>
      </x:c>
      <x:c r="B67" s="176" t="str">
        <x:v>ohscanner.cpp.shared_ptr_race</x:v>
      </x:c>
      <x:c r="C67" s="196" t="str">
        <x:v>高优先级</x:v>
      </x:c>
      <x:c r="D67" s="176" t="str">
        <x:v>ohcpp-shared-ptr-race-candidate-001 / CWE-362</x:v>
      </x:c>
      <x:c r="E67" s="176" t="str">
        <x:v>test/native/fuzztest/dbpreferencesbasevalue_fuzzer/dbpreferencesbasevalue_fuzzer.cpp:160
符号：preferences_</x:v>
      </x:c>
      <x:c r="F67" s="176" t="str">
        <x:v>未运行目标派生 harness；Docker 内通用 TSan 正控 3/3 稳定检出数据竞争，原子固定对照 3/3 干净。
方法控制不证明抽样组件存在竞态。</x:v>
      </x:c>
      <x:c r="G67" s="195" t="str">
        <x:v>not_testable</x:v>
      </x:c>
      <x:c r="H6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7" s="191" t="str">
        <x:f>IFERROR(HYPERLINK("file:///D:/openHarmonyScanner/outputs/01a14d00-bc78-7ac2-9520-210d4b92b1ac/poc/index.json","无专用 PoC"),"无专用 PoC")</x:f>
        <x:v>无专用 PoC</x:v>
      </x:c>
    </x:row>
    <x:row r="68" ht="58" customHeight="1">
      <x:c r="A68" s="175" t="str">
        <x:v>distributeddatamgr_preferences
openharmony/distributeddatamgr_preferences
CR-0063</x:v>
      </x:c>
      <x:c r="B68" s="176" t="str">
        <x:v>ohscanner.cpp.shared_ptr_race</x:v>
      </x:c>
      <x:c r="C68" s="196" t="str">
        <x:v>高优先级</x:v>
      </x:c>
      <x:c r="D68" s="176" t="str">
        <x:v>ohcpp-shared-ptr-race-candidate-001 / CWE-362</x:v>
      </x:c>
      <x:c r="E68" s="176" t="str">
        <x:v>test/native/fuzztest/dbpreferencesbasevalue_fuzzer/dbpreferencesbasevalue_fuzzer.cpp:168
符号：preferences_</x:v>
      </x:c>
      <x:c r="F68" s="176" t="str">
        <x:v>未运行目标派生 harness；Docker 内通用 TSan 正控 3/3 稳定检出数据竞争，原子固定对照 3/3 干净。
方法控制不证明抽样组件存在竞态。</x:v>
      </x:c>
      <x:c r="G68" s="195" t="str">
        <x:v>not_testable</x:v>
      </x:c>
      <x:c r="H6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8" s="191" t="str">
        <x:f>IFERROR(HYPERLINK("file:///D:/openHarmonyScanner/outputs/01a14d00-bc78-7ac2-9520-210d4b92b1ac/poc/index.json","无专用 PoC"),"无专用 PoC")</x:f>
        <x:v>无专用 PoC</x:v>
      </x:c>
    </x:row>
    <x:row r="69" ht="58" customHeight="1">
      <x:c r="A69" s="175" t="str">
        <x:v>distributeddatamgr_preferences
openharmony/distributeddatamgr_preferences
CR-0064</x:v>
      </x:c>
      <x:c r="B69" s="176" t="str">
        <x:v>ohscanner.cpp.shared_ptr_race</x:v>
      </x:c>
      <x:c r="C69" s="196" t="str">
        <x:v>高优先级</x:v>
      </x:c>
      <x:c r="D69" s="176" t="str">
        <x:v>ohcpp-shared-ptr-race-candidate-001 / CWE-362</x:v>
      </x:c>
      <x:c r="E69" s="176" t="str">
        <x:v>test/native/fuzztest/dbpreferencesbasevalue_fuzzer/dbpreferencesbasevalue_fuzzer.cpp:176
符号：preferences_</x:v>
      </x:c>
      <x:c r="F69" s="176" t="str">
        <x:v>未运行目标派生 harness；Docker 内通用 TSan 正控 3/3 稳定检出数据竞争，原子固定对照 3/3 干净。
方法控制不证明抽样组件存在竞态。</x:v>
      </x:c>
      <x:c r="G69" s="195" t="str">
        <x:v>not_testable</x:v>
      </x:c>
      <x:c r="H6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69" s="191" t="str">
        <x:f>IFERROR(HYPERLINK("file:///D:/openHarmonyScanner/outputs/01a14d00-bc78-7ac2-9520-210d4b92b1ac/poc/index.json","无专用 PoC"),"无专用 PoC")</x:f>
        <x:v>无专用 PoC</x:v>
      </x:c>
    </x:row>
    <x:row r="70" ht="58" customHeight="1">
      <x:c r="A70" s="175" t="str">
        <x:v>distributeddatamgr_preferences
openharmony/distributeddatamgr_preferences
CR-0065</x:v>
      </x:c>
      <x:c r="B70" s="176" t="str">
        <x:v>ohscanner.cpp.shared_ptr_race</x:v>
      </x:c>
      <x:c r="C70" s="196" t="str">
        <x:v>高优先级</x:v>
      </x:c>
      <x:c r="D70" s="176" t="str">
        <x:v>ohcpp-shared-ptr-race-candidate-001 / CWE-362</x:v>
      </x:c>
      <x:c r="E70" s="176" t="str">
        <x:v>test/native/fuzztest/dbpreferencesbasevalue_fuzzer/dbpreferencesbasevalue_fuzzer.cpp:177
符号：preferences_</x:v>
      </x:c>
      <x:c r="F70" s="176" t="str">
        <x:v>未运行目标派生 harness；Docker 内通用 TSan 正控 3/3 稳定检出数据竞争，原子固定对照 3/3 干净。
方法控制不证明抽样组件存在竞态。</x:v>
      </x:c>
      <x:c r="G70" s="195" t="str">
        <x:v>not_testable</x:v>
      </x:c>
      <x:c r="H7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0" s="191" t="str">
        <x:f>IFERROR(HYPERLINK("file:///D:/openHarmonyScanner/outputs/01a14d00-bc78-7ac2-9520-210d4b92b1ac/poc/index.json","无专用 PoC"),"无专用 PoC")</x:f>
        <x:v>无专用 PoC</x:v>
      </x:c>
    </x:row>
    <x:row r="71" ht="58" customHeight="1">
      <x:c r="A71" s="175" t="str">
        <x:v>distributeddatamgr_preferences
openharmony/distributeddatamgr_preferences
CR-0066</x:v>
      </x:c>
      <x:c r="B71" s="176" t="str">
        <x:v>ohscanner.cpp.shared_ptr_race</x:v>
      </x:c>
      <x:c r="C71" s="196" t="str">
        <x:v>高优先级</x:v>
      </x:c>
      <x:c r="D71" s="176" t="str">
        <x:v>ohcpp-shared-ptr-race-candidate-001 / CWE-362</x:v>
      </x:c>
      <x:c r="E71" s="176" t="str">
        <x:v>test/native/fuzztest/dbpreferencesget_fuzzer/dbpreferencesget_fuzzer.cpp:43
符号：preferences_</x:v>
      </x:c>
      <x:c r="F71" s="176" t="str">
        <x:v>未运行目标派生 harness；Docker 内通用 TSan 正控 3/3 稳定检出数据竞争，原子固定对照 3/3 干净。
方法控制不证明抽样组件存在竞态。</x:v>
      </x:c>
      <x:c r="G71" s="195" t="str">
        <x:v>not_testable</x:v>
      </x:c>
      <x:c r="H7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1" s="191" t="str">
        <x:f>IFERROR(HYPERLINK("file:///D:/openHarmonyScanner/outputs/01a14d00-bc78-7ac2-9520-210d4b92b1ac/poc/index.json","无专用 PoC"),"无专用 PoC")</x:f>
        <x:v>无专用 PoC</x:v>
      </x:c>
    </x:row>
    <x:row r="72" ht="58" customHeight="1">
      <x:c r="A72" s="175" t="str">
        <x:v>distributeddatamgr_preferences
openharmony/distributeddatamgr_preferences
CR-0067</x:v>
      </x:c>
      <x:c r="B72" s="176" t="str">
        <x:v>ohscanner.cpp.shared_ptr_race</x:v>
      </x:c>
      <x:c r="C72" s="196" t="str">
        <x:v>高优先级</x:v>
      </x:c>
      <x:c r="D72" s="176" t="str">
        <x:v>ohcpp-shared-ptr-race-candidate-001 / CWE-362</x:v>
      </x:c>
      <x:c r="E72" s="176" t="str">
        <x:v>test/native/fuzztest/dbpreferencesget_fuzzer/dbpreferencesget_fuzzer.cpp:48
符号：preferences_</x:v>
      </x:c>
      <x:c r="F72" s="176" t="str">
        <x:v>未运行目标派生 harness；Docker 内通用 TSan 正控 3/3 稳定检出数据竞争，原子固定对照 3/3 干净。
方法控制不证明抽样组件存在竞态。</x:v>
      </x:c>
      <x:c r="G72" s="195" t="str">
        <x:v>not_testable</x:v>
      </x:c>
      <x:c r="H7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2" s="191" t="str">
        <x:f>IFERROR(HYPERLINK("file:///D:/openHarmonyScanner/outputs/01a14d00-bc78-7ac2-9520-210d4b92b1ac/poc/index.json","无专用 PoC"),"无专用 PoC")</x:f>
        <x:v>无专用 PoC</x:v>
      </x:c>
    </x:row>
    <x:row r="73" ht="58" customHeight="1">
      <x:c r="A73" s="175" t="str">
        <x:v>distributeddatamgr_preferences
openharmony/distributeddatamgr_preferences
CR-0068</x:v>
      </x:c>
      <x:c r="B73" s="176" t="str">
        <x:v>ohscanner.cpp.shared_ptr_race</x:v>
      </x:c>
      <x:c r="C73" s="196" t="str">
        <x:v>高优先级</x:v>
      </x:c>
      <x:c r="D73" s="176" t="str">
        <x:v>ohcpp-shared-ptr-race-candidate-001 / CWE-362</x:v>
      </x:c>
      <x:c r="E73" s="176" t="str">
        <x:v>test/native/fuzztest/dbpreferencesget_fuzzer/dbpreferencesget_fuzzer.cpp:50
符号：preferences_</x:v>
      </x:c>
      <x:c r="F73" s="176" t="str">
        <x:v>未运行目标派生 harness；Docker 内通用 TSan 正控 3/3 稳定检出数据竞争，原子固定对照 3/3 干净。
方法控制不证明抽样组件存在竞态。</x:v>
      </x:c>
      <x:c r="G73" s="195" t="str">
        <x:v>not_testable</x:v>
      </x:c>
      <x:c r="H7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3" s="191" t="str">
        <x:f>IFERROR(HYPERLINK("file:///D:/openHarmonyScanner/outputs/01a14d00-bc78-7ac2-9520-210d4b92b1ac/poc/index.json","无专用 PoC"),"无专用 PoC")</x:f>
        <x:v>无专用 PoC</x:v>
      </x:c>
    </x:row>
    <x:row r="74" ht="58" customHeight="1">
      <x:c r="A74" s="175" t="str">
        <x:v>distributeddatamgr_preferences
openharmony/distributeddatamgr_preferences
CR-0069</x:v>
      </x:c>
      <x:c r="B74" s="176" t="str">
        <x:v>ohscanner.cpp.shared_ptr_race</x:v>
      </x:c>
      <x:c r="C74" s="196" t="str">
        <x:v>高优先级</x:v>
      </x:c>
      <x:c r="D74" s="176" t="str">
        <x:v>ohcpp-shared-ptr-race-candidate-001 / CWE-362</x:v>
      </x:c>
      <x:c r="E74" s="176" t="str">
        <x:v>test/native/fuzztest/dbpreferencesget_fuzzer/dbpreferencesget_fuzzer.cpp:65
符号：preferences_</x:v>
      </x:c>
      <x:c r="F74" s="176" t="str">
        <x:v>未运行目标派生 harness；Docker 内通用 TSan 正控 3/3 稳定检出数据竞争，原子固定对照 3/3 干净。
方法控制不证明抽样组件存在竞态。</x:v>
      </x:c>
      <x:c r="G74" s="195" t="str">
        <x:v>not_testable</x:v>
      </x:c>
      <x:c r="H7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4" s="191" t="str">
        <x:f>IFERROR(HYPERLINK("file:///D:/openHarmonyScanner/outputs/01a14d00-bc78-7ac2-9520-210d4b92b1ac/poc/index.json","无专用 PoC"),"无专用 PoC")</x:f>
        <x:v>无专用 PoC</x:v>
      </x:c>
    </x:row>
    <x:row r="75" ht="58" customHeight="1">
      <x:c r="A75" s="175" t="str">
        <x:v>distributeddatamgr_preferences
openharmony/distributeddatamgr_preferences
CR-0070</x:v>
      </x:c>
      <x:c r="B75" s="176" t="str">
        <x:v>ohscanner.cpp.shared_ptr_race</x:v>
      </x:c>
      <x:c r="C75" s="196" t="str">
        <x:v>高优先级</x:v>
      </x:c>
      <x:c r="D75" s="176" t="str">
        <x:v>ohcpp-shared-ptr-race-candidate-001 / CWE-362</x:v>
      </x:c>
      <x:c r="E75" s="176" t="str">
        <x:v>test/native/fuzztest/dbpreferencesget_fuzzer/dbpreferencesget_fuzzer.cpp:66
符号：preferences_</x:v>
      </x:c>
      <x:c r="F75" s="176" t="str">
        <x:v>未运行目标派生 harness；Docker 内通用 TSan 正控 3/3 稳定检出数据竞争，原子固定对照 3/3 干净。
方法控制不证明抽样组件存在竞态。</x:v>
      </x:c>
      <x:c r="G75" s="195" t="str">
        <x:v>not_testable</x:v>
      </x:c>
      <x:c r="H7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5" s="191" t="str">
        <x:f>IFERROR(HYPERLINK("file:///D:/openHarmonyScanner/outputs/01a14d00-bc78-7ac2-9520-210d4b92b1ac/poc/index.json","无专用 PoC"),"无专用 PoC")</x:f>
        <x:v>无专用 PoC</x:v>
      </x:c>
    </x:row>
    <x:row r="76" ht="58" customHeight="1">
      <x:c r="A76" s="175" t="str">
        <x:v>distributeddatamgr_preferences
openharmony/distributeddatamgr_preferences
CR-0071</x:v>
      </x:c>
      <x:c r="B76" s="176" t="str">
        <x:v>ohscanner.cpp.shared_ptr_race</x:v>
      </x:c>
      <x:c r="C76" s="196" t="str">
        <x:v>高优先级</x:v>
      </x:c>
      <x:c r="D76" s="176" t="str">
        <x:v>ohcpp-shared-ptr-race-candidate-001 / CWE-362</x:v>
      </x:c>
      <x:c r="E76" s="176" t="str">
        <x:v>test/native/fuzztest/dbpreferencesget_fuzzer/dbpreferencesget_fuzzer.cpp:74
符号：preferences_</x:v>
      </x:c>
      <x:c r="F76" s="176" t="str">
        <x:v>未运行目标派生 harness；Docker 内通用 TSan 正控 3/3 稳定检出数据竞争，原子固定对照 3/3 干净。
方法控制不证明抽样组件存在竞态。</x:v>
      </x:c>
      <x:c r="G76" s="195" t="str">
        <x:v>not_testable</x:v>
      </x:c>
      <x:c r="H7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6" s="191" t="str">
        <x:f>IFERROR(HYPERLINK("file:///D:/openHarmonyScanner/outputs/01a14d00-bc78-7ac2-9520-210d4b92b1ac/poc/index.json","无专用 PoC"),"无专用 PoC")</x:f>
        <x:v>无专用 PoC</x:v>
      </x:c>
    </x:row>
    <x:row r="77" ht="58" customHeight="1">
      <x:c r="A77" s="175" t="str">
        <x:v>distributeddatamgr_preferences
openharmony/distributeddatamgr_preferences
CR-0072</x:v>
      </x:c>
      <x:c r="B77" s="176" t="str">
        <x:v>ohscanner.cpp.shared_ptr_race</x:v>
      </x:c>
      <x:c r="C77" s="196" t="str">
        <x:v>高优先级</x:v>
      </x:c>
      <x:c r="D77" s="176" t="str">
        <x:v>ohcpp-shared-ptr-race-candidate-001 / CWE-362</x:v>
      </x:c>
      <x:c r="E77" s="176" t="str">
        <x:v>test/native/fuzztest/dbpreferencesget_fuzzer/dbpreferencesget_fuzzer.cpp:75
符号：preferences_</x:v>
      </x:c>
      <x:c r="F77" s="176" t="str">
        <x:v>未运行目标派生 harness；Docker 内通用 TSan 正控 3/3 稳定检出数据竞争，原子固定对照 3/3 干净。
方法控制不证明抽样组件存在竞态。</x:v>
      </x:c>
      <x:c r="G77" s="195" t="str">
        <x:v>not_testable</x:v>
      </x:c>
      <x:c r="H7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7" s="191" t="str">
        <x:f>IFERROR(HYPERLINK("file:///D:/openHarmonyScanner/outputs/01a14d00-bc78-7ac2-9520-210d4b92b1ac/poc/index.json","无专用 PoC"),"无专用 PoC")</x:f>
        <x:v>无专用 PoC</x:v>
      </x:c>
    </x:row>
    <x:row r="78" ht="58" customHeight="1">
      <x:c r="A78" s="175" t="str">
        <x:v>distributeddatamgr_preferences
openharmony/distributeddatamgr_preferences
CR-0073</x:v>
      </x:c>
      <x:c r="B78" s="176" t="str">
        <x:v>ohscanner.cpp.shared_ptr_race</x:v>
      </x:c>
      <x:c r="C78" s="196" t="str">
        <x:v>高优先级</x:v>
      </x:c>
      <x:c r="D78" s="176" t="str">
        <x:v>ohcpp-shared-ptr-race-candidate-001 / CWE-362</x:v>
      </x:c>
      <x:c r="E78" s="176" t="str">
        <x:v>test/native/fuzztest/dbpreferencesget_fuzzer/dbpreferencesget_fuzzer.cpp:83
符号：preferences_</x:v>
      </x:c>
      <x:c r="F78" s="176" t="str">
        <x:v>未运行目标派生 harness；Docker 内通用 TSan 正控 3/3 稳定检出数据竞争，原子固定对照 3/3 干净。
方法控制不证明抽样组件存在竞态。</x:v>
      </x:c>
      <x:c r="G78" s="195" t="str">
        <x:v>not_testable</x:v>
      </x:c>
      <x:c r="H7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8" s="191" t="str">
        <x:f>IFERROR(HYPERLINK("file:///D:/openHarmonyScanner/outputs/01a14d00-bc78-7ac2-9520-210d4b92b1ac/poc/index.json","无专用 PoC"),"无专用 PoC")</x:f>
        <x:v>无专用 PoC</x:v>
      </x:c>
    </x:row>
    <x:row r="79" ht="58" customHeight="1">
      <x:c r="A79" s="175" t="str">
        <x:v>distributeddatamgr_preferences
openharmony/distributeddatamgr_preferences
CR-0074</x:v>
      </x:c>
      <x:c r="B79" s="176" t="str">
        <x:v>ohscanner.cpp.shared_ptr_race</x:v>
      </x:c>
      <x:c r="C79" s="196" t="str">
        <x:v>高优先级</x:v>
      </x:c>
      <x:c r="D79" s="176" t="str">
        <x:v>ohcpp-shared-ptr-race-candidate-001 / CWE-362</x:v>
      </x:c>
      <x:c r="E79" s="176" t="str">
        <x:v>test/native/fuzztest/dbpreferencesget_fuzzer/dbpreferencesget_fuzzer.cpp:91
符号：preferences_</x:v>
      </x:c>
      <x:c r="F79" s="176" t="str">
        <x:v>未运行目标派生 harness；Docker 内通用 TSan 正控 3/3 稳定检出数据竞争，原子固定对照 3/3 干净。
方法控制不证明抽样组件存在竞态。</x:v>
      </x:c>
      <x:c r="G79" s="195" t="str">
        <x:v>not_testable</x:v>
      </x:c>
      <x:c r="H7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79" s="191" t="str">
        <x:f>IFERROR(HYPERLINK("file:///D:/openHarmonyScanner/outputs/01a14d00-bc78-7ac2-9520-210d4b92b1ac/poc/index.json","无专用 PoC"),"无专用 PoC")</x:f>
        <x:v>无专用 PoC</x:v>
      </x:c>
    </x:row>
    <x:row r="80" ht="58" customHeight="1">
      <x:c r="A80" s="175" t="str">
        <x:v>distributeddatamgr_preferences
openharmony/distributeddatamgr_preferences
CR-0075</x:v>
      </x:c>
      <x:c r="B80" s="176" t="str">
        <x:v>ohscanner.cpp.shared_ptr_race</x:v>
      </x:c>
      <x:c r="C80" s="196" t="str">
        <x:v>高优先级</x:v>
      </x:c>
      <x:c r="D80" s="176" t="str">
        <x:v>ohcpp-shared-ptr-race-candidate-001 / CWE-362</x:v>
      </x:c>
      <x:c r="E80" s="176" t="str">
        <x:v>test/native/fuzztest/dbpreferencesget_fuzzer/dbpreferencesget_fuzzer.cpp:92
符号：preferences_</x:v>
      </x:c>
      <x:c r="F80" s="176" t="str">
        <x:v>未运行目标派生 harness；Docker 内通用 TSan 正控 3/3 稳定检出数据竞争，原子固定对照 3/3 干净。
方法控制不证明抽样组件存在竞态。</x:v>
      </x:c>
      <x:c r="G80" s="195" t="str">
        <x:v>not_testable</x:v>
      </x:c>
      <x:c r="H8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0" s="191" t="str">
        <x:f>IFERROR(HYPERLINK("file:///D:/openHarmonyScanner/outputs/01a14d00-bc78-7ac2-9520-210d4b92b1ac/poc/index.json","无专用 PoC"),"无专用 PoC")</x:f>
        <x:v>无专用 PoC</x:v>
      </x:c>
    </x:row>
    <x:row r="81" ht="58" customHeight="1">
      <x:c r="A81" s="175" t="str">
        <x:v>distributeddatamgr_preferences
openharmony/distributeddatamgr_preferences
CR-0076</x:v>
      </x:c>
      <x:c r="B81" s="176" t="str">
        <x:v>ohscanner.cpp.shared_ptr_race</x:v>
      </x:c>
      <x:c r="C81" s="196" t="str">
        <x:v>高优先级</x:v>
      </x:c>
      <x:c r="D81" s="176" t="str">
        <x:v>ohcpp-shared-ptr-race-candidate-001 / CWE-362</x:v>
      </x:c>
      <x:c r="E81" s="176" t="str">
        <x:v>test/native/fuzztest/dbpreferencesget_fuzzer/dbpreferencesget_fuzzer.cpp:100
符号：preferences_</x:v>
      </x:c>
      <x:c r="F81" s="176" t="str">
        <x:v>未运行目标派生 harness；Docker 内通用 TSan 正控 3/3 稳定检出数据竞争，原子固定对照 3/3 干净。
方法控制不证明抽样组件存在竞态。</x:v>
      </x:c>
      <x:c r="G81" s="195" t="str">
        <x:v>not_testable</x:v>
      </x:c>
      <x:c r="H8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1" s="191" t="str">
        <x:f>IFERROR(HYPERLINK("file:///D:/openHarmonyScanner/outputs/01a14d00-bc78-7ac2-9520-210d4b92b1ac/poc/index.json","无专用 PoC"),"无专用 PoC")</x:f>
        <x:v>无专用 PoC</x:v>
      </x:c>
    </x:row>
    <x:row r="82" ht="58" customHeight="1">
      <x:c r="A82" s="175" t="str">
        <x:v>distributeddatamgr_preferences
openharmony/distributeddatamgr_preferences
CR-0077</x:v>
      </x:c>
      <x:c r="B82" s="176" t="str">
        <x:v>ohscanner.cpp.shared_ptr_race</x:v>
      </x:c>
      <x:c r="C82" s="196" t="str">
        <x:v>高优先级</x:v>
      </x:c>
      <x:c r="D82" s="176" t="str">
        <x:v>ohcpp-shared-ptr-race-candidate-001 / CWE-362</x:v>
      </x:c>
      <x:c r="E82" s="176" t="str">
        <x:v>test/native/fuzztest/dbpreferencesget_fuzzer/dbpreferencesget_fuzzer.cpp:108
符号：preferences_</x:v>
      </x:c>
      <x:c r="F82" s="176" t="str">
        <x:v>未运行目标派生 harness；Docker 内通用 TSan 正控 3/3 稳定检出数据竞争，原子固定对照 3/3 干净。
方法控制不证明抽样组件存在竞态。</x:v>
      </x:c>
      <x:c r="G82" s="195" t="str">
        <x:v>not_testable</x:v>
      </x:c>
      <x:c r="H8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2" s="191" t="str">
        <x:f>IFERROR(HYPERLINK("file:///D:/openHarmonyScanner/outputs/01a14d00-bc78-7ac2-9520-210d4b92b1ac/poc/index.json","无专用 PoC"),"无专用 PoC")</x:f>
        <x:v>无专用 PoC</x:v>
      </x:c>
    </x:row>
    <x:row r="83" ht="58" customHeight="1">
      <x:c r="A83" s="175" t="str">
        <x:v>distributeddatamgr_preferences
openharmony/distributeddatamgr_preferences
CR-0078</x:v>
      </x:c>
      <x:c r="B83" s="176" t="str">
        <x:v>ohscanner.cpp.shared_ptr_race</x:v>
      </x:c>
      <x:c r="C83" s="196" t="str">
        <x:v>高优先级</x:v>
      </x:c>
      <x:c r="D83" s="176" t="str">
        <x:v>ohcpp-shared-ptr-race-candidate-001 / CWE-362</x:v>
      </x:c>
      <x:c r="E83" s="176" t="str">
        <x:v>test/native/fuzztest/dbpreferencesget_fuzzer/dbpreferencesget_fuzzer.cpp:109
符号：preferences_</x:v>
      </x:c>
      <x:c r="F83" s="176" t="str">
        <x:v>未运行目标派生 harness；Docker 内通用 TSan 正控 3/3 稳定检出数据竞争，原子固定对照 3/3 干净。
方法控制不证明抽样组件存在竞态。</x:v>
      </x:c>
      <x:c r="G83" s="195" t="str">
        <x:v>not_testable</x:v>
      </x:c>
      <x:c r="H8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3" s="191" t="str">
        <x:f>IFERROR(HYPERLINK("file:///D:/openHarmonyScanner/outputs/01a14d00-bc78-7ac2-9520-210d4b92b1ac/poc/index.json","无专用 PoC"),"无专用 PoC")</x:f>
        <x:v>无专用 PoC</x:v>
      </x:c>
    </x:row>
    <x:row r="84" ht="58" customHeight="1">
      <x:c r="A84" s="175" t="str">
        <x:v>distributeddatamgr_preferences
openharmony/distributeddatamgr_preferences
CR-0079</x:v>
      </x:c>
      <x:c r="B84" s="176" t="str">
        <x:v>ohscanner.cpp.shared_ptr_race</x:v>
      </x:c>
      <x:c r="C84" s="196" t="str">
        <x:v>高优先级</x:v>
      </x:c>
      <x:c r="D84" s="176" t="str">
        <x:v>ohcpp-shared-ptr-race-candidate-001 / CWE-362</x:v>
      </x:c>
      <x:c r="E84" s="176" t="str">
        <x:v>test/native/fuzztest/dbpreferencesget_fuzzer/dbpreferencesget_fuzzer.cpp:117
符号：preferences_</x:v>
      </x:c>
      <x:c r="F84" s="176" t="str">
        <x:v>未运行目标派生 harness；Docker 内通用 TSan 正控 3/3 稳定检出数据竞争，原子固定对照 3/3 干净。
方法控制不证明抽样组件存在竞态。</x:v>
      </x:c>
      <x:c r="G84" s="195" t="str">
        <x:v>not_testable</x:v>
      </x:c>
      <x:c r="H8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4" s="191" t="str">
        <x:f>IFERROR(HYPERLINK("file:///D:/openHarmonyScanner/outputs/01a14d00-bc78-7ac2-9520-210d4b92b1ac/poc/index.json","无专用 PoC"),"无专用 PoC")</x:f>
        <x:v>无专用 PoC</x:v>
      </x:c>
    </x:row>
    <x:row r="85" ht="58" customHeight="1">
      <x:c r="A85" s="175" t="str">
        <x:v>distributeddatamgr_preferences
openharmony/distributeddatamgr_preferences
CR-0080</x:v>
      </x:c>
      <x:c r="B85" s="176" t="str">
        <x:v>ohscanner.cpp.shared_ptr_race</x:v>
      </x:c>
      <x:c r="C85" s="196" t="str">
        <x:v>高优先级</x:v>
      </x:c>
      <x:c r="D85" s="176" t="str">
        <x:v>ohcpp-shared-ptr-race-candidate-001 / CWE-362</x:v>
      </x:c>
      <x:c r="E85" s="176" t="str">
        <x:v>test/native/fuzztest/dbpreferencesget_fuzzer/dbpreferencesget_fuzzer.cpp:125
符号：preferences_</x:v>
      </x:c>
      <x:c r="F85" s="176" t="str">
        <x:v>未运行目标派生 harness；Docker 内通用 TSan 正控 3/3 稳定检出数据竞争，原子固定对照 3/3 干净。
方法控制不证明抽样组件存在竞态。</x:v>
      </x:c>
      <x:c r="G85" s="195" t="str">
        <x:v>not_testable</x:v>
      </x:c>
      <x:c r="H8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5" s="191" t="str">
        <x:f>IFERROR(HYPERLINK("file:///D:/openHarmonyScanner/outputs/01a14d00-bc78-7ac2-9520-210d4b92b1ac/poc/index.json","无专用 PoC"),"无专用 PoC")</x:f>
        <x:v>无专用 PoC</x:v>
      </x:c>
    </x:row>
    <x:row r="86" ht="58" customHeight="1">
      <x:c r="A86" s="175" t="str">
        <x:v>distributeddatamgr_preferences
openharmony/distributeddatamgr_preferences
CR-0081</x:v>
      </x:c>
      <x:c r="B86" s="176" t="str">
        <x:v>ohscanner.cpp.shared_ptr_race</x:v>
      </x:c>
      <x:c r="C86" s="196" t="str">
        <x:v>高优先级</x:v>
      </x:c>
      <x:c r="D86" s="176" t="str">
        <x:v>ohcpp-shared-ptr-race-candidate-001 / CWE-362</x:v>
      </x:c>
      <x:c r="E86" s="176" t="str">
        <x:v>test/native/fuzztest/dbpreferencesget_fuzzer/dbpreferencesget_fuzzer.cpp:126
符号：preferences_</x:v>
      </x:c>
      <x:c r="F86" s="176" t="str">
        <x:v>未运行目标派生 harness；Docker 内通用 TSan 正控 3/3 稳定检出数据竞争，原子固定对照 3/3 干净。
方法控制不证明抽样组件存在竞态。</x:v>
      </x:c>
      <x:c r="G86" s="195" t="str">
        <x:v>not_testable</x:v>
      </x:c>
      <x:c r="H8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6" s="191" t="str">
        <x:f>IFERROR(HYPERLINK("file:///D:/openHarmonyScanner/outputs/01a14d00-bc78-7ac2-9520-210d4b92b1ac/poc/index.json","无专用 PoC"),"无专用 PoC")</x:f>
        <x:v>无专用 PoC</x:v>
      </x:c>
    </x:row>
    <x:row r="87" ht="58" customHeight="1">
      <x:c r="A87" s="175" t="str">
        <x:v>distributeddatamgr_preferences
openharmony/distributeddatamgr_preferences
CR-0082</x:v>
      </x:c>
      <x:c r="B87" s="176" t="str">
        <x:v>ohscanner.cpp.shared_ptr_race</x:v>
      </x:c>
      <x:c r="C87" s="196" t="str">
        <x:v>高优先级</x:v>
      </x:c>
      <x:c r="D87" s="176" t="str">
        <x:v>ohcpp-shared-ptr-race-candidate-001 / CWE-362</x:v>
      </x:c>
      <x:c r="E87" s="176" t="str">
        <x:v>test/native/fuzztest/dbpreferencesget_fuzzer/dbpreferencesget_fuzzer.cpp:134
符号：preferences_</x:v>
      </x:c>
      <x:c r="F87" s="176" t="str">
        <x:v>未运行目标派生 harness；Docker 内通用 TSan 正控 3/3 稳定检出数据竞争，原子固定对照 3/3 干净。
方法控制不证明抽样组件存在竞态。</x:v>
      </x:c>
      <x:c r="G87" s="195" t="str">
        <x:v>not_testable</x:v>
      </x:c>
      <x:c r="H8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7" s="191" t="str">
        <x:f>IFERROR(HYPERLINK("file:///D:/openHarmonyScanner/outputs/01a14d00-bc78-7ac2-9520-210d4b92b1ac/poc/index.json","无专用 PoC"),"无专用 PoC")</x:f>
        <x:v>无专用 PoC</x:v>
      </x:c>
    </x:row>
    <x:row r="88" ht="58" customHeight="1">
      <x:c r="A88" s="175" t="str">
        <x:v>distributeddatamgr_preferences
openharmony/distributeddatamgr_preferences
CR-0083</x:v>
      </x:c>
      <x:c r="B88" s="176" t="str">
        <x:v>ohscanner.cpp.shared_ptr_race</x:v>
      </x:c>
      <x:c r="C88" s="196" t="str">
        <x:v>高优先级</x:v>
      </x:c>
      <x:c r="D88" s="176" t="str">
        <x:v>ohcpp-shared-ptr-race-candidate-001 / CWE-362</x:v>
      </x:c>
      <x:c r="E88" s="176" t="str">
        <x:v>test/native/fuzztest/dbpreferencesget_fuzzer/dbpreferencesget_fuzzer.cpp:142
符号：preferences_</x:v>
      </x:c>
      <x:c r="F88" s="176" t="str">
        <x:v>未运行目标派生 harness；Docker 内通用 TSan 正控 3/3 稳定检出数据竞争，原子固定对照 3/3 干净。
方法控制不证明抽样组件存在竞态。</x:v>
      </x:c>
      <x:c r="G88" s="195" t="str">
        <x:v>not_testable</x:v>
      </x:c>
      <x:c r="H8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8" s="191" t="str">
        <x:f>IFERROR(HYPERLINK("file:///D:/openHarmonyScanner/outputs/01a14d00-bc78-7ac2-9520-210d4b92b1ac/poc/index.json","无专用 PoC"),"无专用 PoC")</x:f>
        <x:v>无专用 PoC</x:v>
      </x:c>
    </x:row>
    <x:row r="89" ht="58" customHeight="1">
      <x:c r="A89" s="175" t="str">
        <x:v>distributeddatamgr_preferences
openharmony/distributeddatamgr_preferences
CR-0084</x:v>
      </x:c>
      <x:c r="B89" s="176" t="str">
        <x:v>ohscanner.cpp.shared_ptr_race</x:v>
      </x:c>
      <x:c r="C89" s="196" t="str">
        <x:v>高优先级</x:v>
      </x:c>
      <x:c r="D89" s="176" t="str">
        <x:v>ohcpp-shared-ptr-race-candidate-001 / CWE-362</x:v>
      </x:c>
      <x:c r="E89" s="176" t="str">
        <x:v>test/native/fuzztest/dbpreferencesget_fuzzer/dbpreferencesget_fuzzer.cpp:143
符号：preferences_</x:v>
      </x:c>
      <x:c r="F89" s="176" t="str">
        <x:v>未运行目标派生 harness；Docker 内通用 TSan 正控 3/3 稳定检出数据竞争，原子固定对照 3/3 干净。
方法控制不证明抽样组件存在竞态。</x:v>
      </x:c>
      <x:c r="G89" s="195" t="str">
        <x:v>not_testable</x:v>
      </x:c>
      <x:c r="H8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89" s="191" t="str">
        <x:f>IFERROR(HYPERLINK("file:///D:/openHarmonyScanner/outputs/01a14d00-bc78-7ac2-9520-210d4b92b1ac/poc/index.json","无专用 PoC"),"无专用 PoC")</x:f>
        <x:v>无专用 PoC</x:v>
      </x:c>
    </x:row>
    <x:row r="90" ht="58" customHeight="1">
      <x:c r="A90" s="175" t="str">
        <x:v>distributeddatamgr_preferences
openharmony/distributeddatamgr_preferences
CR-0085</x:v>
      </x:c>
      <x:c r="B90" s="176" t="str">
        <x:v>ohscanner.cpp.shared_ptr_race</x:v>
      </x:c>
      <x:c r="C90" s="196" t="str">
        <x:v>高优先级</x:v>
      </x:c>
      <x:c r="D90" s="176" t="str">
        <x:v>ohcpp-shared-ptr-race-candidate-001 / CWE-362</x:v>
      </x:c>
      <x:c r="E90" s="176" t="str">
        <x:v>test/native/fuzztest/dbpreferencesget_fuzzer/dbpreferencesget_fuzzer.cpp:151
符号：preferences_</x:v>
      </x:c>
      <x:c r="F90" s="176" t="str">
        <x:v>未运行目标派生 harness；Docker 内通用 TSan 正控 3/3 稳定检出数据竞争，原子固定对照 3/3 干净。
方法控制不证明抽样组件存在竞态。</x:v>
      </x:c>
      <x:c r="G90" s="195" t="str">
        <x:v>not_testable</x:v>
      </x:c>
      <x:c r="H9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0" s="191" t="str">
        <x:f>IFERROR(HYPERLINK("file:///D:/openHarmonyScanner/outputs/01a14d00-bc78-7ac2-9520-210d4b92b1ac/poc/index.json","无专用 PoC"),"无专用 PoC")</x:f>
        <x:v>无专用 PoC</x:v>
      </x:c>
    </x:row>
    <x:row r="91" ht="58" customHeight="1">
      <x:c r="A91" s="175" t="str">
        <x:v>distributeddatamgr_preferences
openharmony/distributeddatamgr_preferences
CR-0086</x:v>
      </x:c>
      <x:c r="B91" s="176" t="str">
        <x:v>ohscanner.cpp.shared_ptr_race</x:v>
      </x:c>
      <x:c r="C91" s="196" t="str">
        <x:v>高优先级</x:v>
      </x:c>
      <x:c r="D91" s="176" t="str">
        <x:v>ohcpp-shared-ptr-race-candidate-001 / CWE-362</x:v>
      </x:c>
      <x:c r="E91" s="176" t="str">
        <x:v>test/native/fuzztest/dbpreferencesget_fuzzer/dbpreferencesget_fuzzer.cpp:159
符号：preferences_</x:v>
      </x:c>
      <x:c r="F91" s="176" t="str">
        <x:v>未运行目标派生 harness；Docker 内通用 TSan 正控 3/3 稳定检出数据竞争，原子固定对照 3/3 干净。
方法控制不证明抽样组件存在竞态。</x:v>
      </x:c>
      <x:c r="G91" s="195" t="str">
        <x:v>not_testable</x:v>
      </x:c>
      <x:c r="H9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1" s="191" t="str">
        <x:f>IFERROR(HYPERLINK("file:///D:/openHarmonyScanner/outputs/01a14d00-bc78-7ac2-9520-210d4b92b1ac/poc/index.json","无专用 PoC"),"无专用 PoC")</x:f>
        <x:v>无专用 PoC</x:v>
      </x:c>
    </x:row>
    <x:row r="92" ht="58" customHeight="1">
      <x:c r="A92" s="175" t="str">
        <x:v>distributeddatamgr_preferences
openharmony/distributeddatamgr_preferences
CR-0087</x:v>
      </x:c>
      <x:c r="B92" s="176" t="str">
        <x:v>ohscanner.cpp.shared_ptr_race</x:v>
      </x:c>
      <x:c r="C92" s="196" t="str">
        <x:v>高优先级</x:v>
      </x:c>
      <x:c r="D92" s="176" t="str">
        <x:v>ohcpp-shared-ptr-race-candidate-001 / CWE-362</x:v>
      </x:c>
      <x:c r="E92" s="176" t="str">
        <x:v>test/native/fuzztest/dbpreferencesget_fuzzer/dbpreferencesget_fuzzer.cpp:160
符号：preferences_</x:v>
      </x:c>
      <x:c r="F92" s="176" t="str">
        <x:v>未运行目标派生 harness；Docker 内通用 TSan 正控 3/3 稳定检出数据竞争，原子固定对照 3/3 干净。
方法控制不证明抽样组件存在竞态。</x:v>
      </x:c>
      <x:c r="G92" s="195" t="str">
        <x:v>not_testable</x:v>
      </x:c>
      <x:c r="H9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2" s="191" t="str">
        <x:f>IFERROR(HYPERLINK("file:///D:/openHarmonyScanner/outputs/01a14d00-bc78-7ac2-9520-210d4b92b1ac/poc/index.json","无专用 PoC"),"无专用 PoC")</x:f>
        <x:v>无专用 PoC</x:v>
      </x:c>
    </x:row>
    <x:row r="93" ht="58" customHeight="1">
      <x:c r="A93" s="175" t="str">
        <x:v>distributeddatamgr_preferences
openharmony/distributeddatamgr_preferences
CR-0088</x:v>
      </x:c>
      <x:c r="B93" s="176" t="str">
        <x:v>ohscanner.cpp.shared_ptr_race</x:v>
      </x:c>
      <x:c r="C93" s="196" t="str">
        <x:v>高优先级</x:v>
      </x:c>
      <x:c r="D93" s="176" t="str">
        <x:v>ohcpp-shared-ptr-race-candidate-001 / CWE-362</x:v>
      </x:c>
      <x:c r="E93" s="176" t="str">
        <x:v>test/native/fuzztest/dbpreferencesget_fuzzer/dbpreferencesget_fuzzer.cpp:168
符号：preferences_</x:v>
      </x:c>
      <x:c r="F93" s="176" t="str">
        <x:v>未运行目标派生 harness；Docker 内通用 TSan 正控 3/3 稳定检出数据竞争，原子固定对照 3/3 干净。
方法控制不证明抽样组件存在竞态。</x:v>
      </x:c>
      <x:c r="G93" s="195" t="str">
        <x:v>not_testable</x:v>
      </x:c>
      <x:c r="H9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3" s="191" t="str">
        <x:f>IFERROR(HYPERLINK("file:///D:/openHarmonyScanner/outputs/01a14d00-bc78-7ac2-9520-210d4b92b1ac/poc/index.json","无专用 PoC"),"无专用 PoC")</x:f>
        <x:v>无专用 PoC</x:v>
      </x:c>
    </x:row>
    <x:row r="94" ht="58" customHeight="1">
      <x:c r="A94" s="175" t="str">
        <x:v>distributeddatamgr_preferences
openharmony/distributeddatamgr_preferences
CR-0089</x:v>
      </x:c>
      <x:c r="B94" s="176" t="str">
        <x:v>ohscanner.cpp.shared_ptr_race</x:v>
      </x:c>
      <x:c r="C94" s="196" t="str">
        <x:v>高优先级</x:v>
      </x:c>
      <x:c r="D94" s="176" t="str">
        <x:v>ohcpp-shared-ptr-race-candidate-001 / CWE-362</x:v>
      </x:c>
      <x:c r="E94" s="176" t="str">
        <x:v>test/native/fuzztest/dbpreferencesget_fuzzer/dbpreferencesget_fuzzer.cpp:176
符号：preferences_</x:v>
      </x:c>
      <x:c r="F94" s="176" t="str">
        <x:v>未运行目标派生 harness；Docker 内通用 TSan 正控 3/3 稳定检出数据竞争，原子固定对照 3/3 干净。
方法控制不证明抽样组件存在竞态。</x:v>
      </x:c>
      <x:c r="G94" s="195" t="str">
        <x:v>not_testable</x:v>
      </x:c>
      <x:c r="H9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4" s="191" t="str">
        <x:f>IFERROR(HYPERLINK("file:///D:/openHarmonyScanner/outputs/01a14d00-bc78-7ac2-9520-210d4b92b1ac/poc/index.json","无专用 PoC"),"无专用 PoC")</x:f>
        <x:v>无专用 PoC</x:v>
      </x:c>
    </x:row>
    <x:row r="95" ht="58" customHeight="1">
      <x:c r="A95" s="175" t="str">
        <x:v>distributeddatamgr_preferences
openharmony/distributeddatamgr_preferences
CR-0090</x:v>
      </x:c>
      <x:c r="B95" s="176" t="str">
        <x:v>ohscanner.cpp.shared_ptr_race</x:v>
      </x:c>
      <x:c r="C95" s="196" t="str">
        <x:v>高优先级</x:v>
      </x:c>
      <x:c r="D95" s="176" t="str">
        <x:v>ohcpp-shared-ptr-race-candidate-001 / CWE-362</x:v>
      </x:c>
      <x:c r="E95" s="176" t="str">
        <x:v>test/native/fuzztest/dbpreferencesget_fuzzer/dbpreferencesget_fuzzer.cpp:177
符号：preferences_</x:v>
      </x:c>
      <x:c r="F95" s="176" t="str">
        <x:v>未运行目标派生 harness；Docker 内通用 TSan 正控 3/3 稳定检出数据竞争，原子固定对照 3/3 干净。
方法控制不证明抽样组件存在竞态。</x:v>
      </x:c>
      <x:c r="G95" s="195" t="str">
        <x:v>not_testable</x:v>
      </x:c>
      <x:c r="H9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5" s="191" t="str">
        <x:f>IFERROR(HYPERLINK("file:///D:/openHarmonyScanner/outputs/01a14d00-bc78-7ac2-9520-210d4b92b1ac/poc/index.json","无专用 PoC"),"无专用 PoC")</x:f>
        <x:v>无专用 PoC</x:v>
      </x:c>
    </x:row>
    <x:row r="96" ht="58" customHeight="1">
      <x:c r="A96" s="175" t="str">
        <x:v>distributeddatamgr_preferences
openharmony/distributeddatamgr_preferences
CR-0091</x:v>
      </x:c>
      <x:c r="B96" s="176" t="str">
        <x:v>ohscanner.cpp.shared_ptr_race</x:v>
      </x:c>
      <x:c r="C96" s="196" t="str">
        <x:v>高优先级</x:v>
      </x:c>
      <x:c r="D96" s="176" t="str">
        <x:v>ohcpp-shared-ptr-race-candidate-001 / CWE-362</x:v>
      </x:c>
      <x:c r="E96" s="176" t="str">
        <x:v>test/native/fuzztest/dbpreferencesvector_fuzzer/dbpreferencesvector_fuzzer.cpp:45
符号：preferences_</x:v>
      </x:c>
      <x:c r="F96" s="176" t="str">
        <x:v>未运行目标派生 harness；Docker 内通用 TSan 正控 3/3 稳定检出数据竞争，原子固定对照 3/3 干净。
方法控制不证明抽样组件存在竞态。</x:v>
      </x:c>
      <x:c r="G96" s="195" t="str">
        <x:v>not_testable</x:v>
      </x:c>
      <x:c r="H9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6" s="191" t="str">
        <x:f>IFERROR(HYPERLINK("file:///D:/openHarmonyScanner/outputs/01a14d00-bc78-7ac2-9520-210d4b92b1ac/poc/index.json","无专用 PoC"),"无专用 PoC")</x:f>
        <x:v>无专用 PoC</x:v>
      </x:c>
    </x:row>
    <x:row r="97" ht="58" customHeight="1">
      <x:c r="A97" s="175" t="str">
        <x:v>distributeddatamgr_preferences
openharmony/distributeddatamgr_preferences
CR-0092</x:v>
      </x:c>
      <x:c r="B97" s="176" t="str">
        <x:v>ohscanner.cpp.shared_ptr_race</x:v>
      </x:c>
      <x:c r="C97" s="196" t="str">
        <x:v>高优先级</x:v>
      </x:c>
      <x:c r="D97" s="176" t="str">
        <x:v>ohcpp-shared-ptr-race-candidate-001 / CWE-362</x:v>
      </x:c>
      <x:c r="E97" s="176" t="str">
        <x:v>test/native/fuzztest/dbpreferencesvector_fuzzer/dbpreferencesvector_fuzzer.cpp:50
符号：preferences_</x:v>
      </x:c>
      <x:c r="F97" s="176" t="str">
        <x:v>未运行目标派生 harness；Docker 内通用 TSan 正控 3/3 稳定检出数据竞争，原子固定对照 3/3 干净。
方法控制不证明抽样组件存在竞态。</x:v>
      </x:c>
      <x:c r="G97" s="195" t="str">
        <x:v>not_testable</x:v>
      </x:c>
      <x:c r="H9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7" s="191" t="str">
        <x:f>IFERROR(HYPERLINK("file:///D:/openHarmonyScanner/outputs/01a14d00-bc78-7ac2-9520-210d4b92b1ac/poc/index.json","无专用 PoC"),"无专用 PoC")</x:f>
        <x:v>无专用 PoC</x:v>
      </x:c>
    </x:row>
    <x:row r="98" ht="58" customHeight="1">
      <x:c r="A98" s="175" t="str">
        <x:v>distributeddatamgr_preferences
openharmony/distributeddatamgr_preferences
CR-0093</x:v>
      </x:c>
      <x:c r="B98" s="176" t="str">
        <x:v>ohscanner.cpp.shared_ptr_race</x:v>
      </x:c>
      <x:c r="C98" s="196" t="str">
        <x:v>高优先级</x:v>
      </x:c>
      <x:c r="D98" s="176" t="str">
        <x:v>ohcpp-shared-ptr-race-candidate-001 / CWE-362</x:v>
      </x:c>
      <x:c r="E98" s="176" t="str">
        <x:v>test/native/fuzztest/dbpreferencesvector_fuzzer/dbpreferencesvector_fuzzer.cpp:52
符号：preferences_</x:v>
      </x:c>
      <x:c r="F98" s="176" t="str">
        <x:v>未运行目标派生 harness；Docker 内通用 TSan 正控 3/3 稳定检出数据竞争，原子固定对照 3/3 干净。
方法控制不证明抽样组件存在竞态。</x:v>
      </x:c>
      <x:c r="G98" s="195" t="str">
        <x:v>not_testable</x:v>
      </x:c>
      <x:c r="H9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8" s="191" t="str">
        <x:f>IFERROR(HYPERLINK("file:///D:/openHarmonyScanner/outputs/01a14d00-bc78-7ac2-9520-210d4b92b1ac/poc/index.json","无专用 PoC"),"无专用 PoC")</x:f>
        <x:v>无专用 PoC</x:v>
      </x:c>
    </x:row>
    <x:row r="99" ht="58" customHeight="1">
      <x:c r="A99" s="175" t="str">
        <x:v>distributeddatamgr_preferences
openharmony/distributeddatamgr_preferences
CR-0094</x:v>
      </x:c>
      <x:c r="B99" s="176" t="str">
        <x:v>ohscanner.cpp.shared_ptr_race</x:v>
      </x:c>
      <x:c r="C99" s="196" t="str">
        <x:v>高优先级</x:v>
      </x:c>
      <x:c r="D99" s="176" t="str">
        <x:v>ohcpp-shared-ptr-race-candidate-001 / CWE-362</x:v>
      </x:c>
      <x:c r="E99" s="176" t="str">
        <x:v>test/native/fuzztest/dbpreferencesvector_fuzzer/dbpreferencesvector_fuzzer.cpp:68
符号：preferences_</x:v>
      </x:c>
      <x:c r="F99" s="176" t="str">
        <x:v>未运行目标派生 harness；Docker 内通用 TSan 正控 3/3 稳定检出数据竞争，原子固定对照 3/3 干净。
方法控制不证明抽样组件存在竞态。</x:v>
      </x:c>
      <x:c r="G99" s="195" t="str">
        <x:v>not_testable</x:v>
      </x:c>
      <x:c r="H9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99" s="191" t="str">
        <x:f>IFERROR(HYPERLINK("file:///D:/openHarmonyScanner/outputs/01a14d00-bc78-7ac2-9520-210d4b92b1ac/poc/index.json","无专用 PoC"),"无专用 PoC")</x:f>
        <x:v>无专用 PoC</x:v>
      </x:c>
    </x:row>
    <x:row r="100" ht="58" customHeight="1">
      <x:c r="A100" s="175" t="str">
        <x:v>distributeddatamgr_preferences
openharmony/distributeddatamgr_preferences
CR-0095</x:v>
      </x:c>
      <x:c r="B100" s="176" t="str">
        <x:v>ohscanner.cpp.shared_ptr_race</x:v>
      </x:c>
      <x:c r="C100" s="196" t="str">
        <x:v>高优先级</x:v>
      </x:c>
      <x:c r="D100" s="176" t="str">
        <x:v>ohcpp-shared-ptr-race-candidate-001 / CWE-362</x:v>
      </x:c>
      <x:c r="E100" s="176" t="str">
        <x:v>test/native/fuzztest/dbpreferencesvector_fuzzer/dbpreferencesvector_fuzzer.cpp:77
符号：preferences_</x:v>
      </x:c>
      <x:c r="F100" s="176" t="str">
        <x:v>未运行目标派生 harness；Docker 内通用 TSan 正控 3/3 稳定检出数据竞争，原子固定对照 3/3 干净。
方法控制不证明抽样组件存在竞态。</x:v>
      </x:c>
      <x:c r="G100" s="195" t="str">
        <x:v>not_testable</x:v>
      </x:c>
      <x:c r="H10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0" s="191" t="str">
        <x:f>IFERROR(HYPERLINK("file:///D:/openHarmonyScanner/outputs/01a14d00-bc78-7ac2-9520-210d4b92b1ac/poc/index.json","无专用 PoC"),"无专用 PoC")</x:f>
        <x:v>无专用 PoC</x:v>
      </x:c>
    </x:row>
    <x:row r="101" ht="58" customHeight="1">
      <x:c r="A101" s="175" t="str">
        <x:v>distributeddatamgr_preferences
openharmony/distributeddatamgr_preferences
CR-0096</x:v>
      </x:c>
      <x:c r="B101" s="176" t="str">
        <x:v>ohscanner.cpp.shared_ptr_race</x:v>
      </x:c>
      <x:c r="C101" s="196" t="str">
        <x:v>高优先级</x:v>
      </x:c>
      <x:c r="D101" s="176" t="str">
        <x:v>ohcpp-shared-ptr-race-candidate-001 / CWE-362</x:v>
      </x:c>
      <x:c r="E101" s="176" t="str">
        <x:v>test/native/fuzztest/dbpreferencesvector_fuzzer/dbpreferencesvector_fuzzer.cpp:78
符号：preferences_</x:v>
      </x:c>
      <x:c r="F101" s="176" t="str">
        <x:v>未运行目标派生 harness；Docker 内通用 TSan 正控 3/3 稳定检出数据竞争，原子固定对照 3/3 干净。
方法控制不证明抽样组件存在竞态。</x:v>
      </x:c>
      <x:c r="G101" s="195" t="str">
        <x:v>not_testable</x:v>
      </x:c>
      <x:c r="H10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1" s="191" t="str">
        <x:f>IFERROR(HYPERLINK("file:///D:/openHarmonyScanner/outputs/01a14d00-bc78-7ac2-9520-210d4b92b1ac/poc/index.json","无专用 PoC"),"无专用 PoC")</x:f>
        <x:v>无专用 PoC</x:v>
      </x:c>
    </x:row>
    <x:row r="102" ht="58" customHeight="1">
      <x:c r="A102" s="175" t="str">
        <x:v>distributeddatamgr_preferences
openharmony/distributeddatamgr_preferences
CR-0097</x:v>
      </x:c>
      <x:c r="B102" s="176" t="str">
        <x:v>ohscanner.cpp.shared_ptr_race</x:v>
      </x:c>
      <x:c r="C102" s="196" t="str">
        <x:v>高优先级</x:v>
      </x:c>
      <x:c r="D102" s="176" t="str">
        <x:v>ohcpp-shared-ptr-race-candidate-001 / CWE-362</x:v>
      </x:c>
      <x:c r="E102" s="176" t="str">
        <x:v>test/native/fuzztest/preferences_fuzzer/preferences_fuzzer.cpp:46
符号：Preferences_</x:v>
      </x:c>
      <x:c r="F102" s="176" t="str">
        <x:v>未运行目标派生 harness；Docker 内通用 TSan 正控 3/3 稳定检出数据竞争，原子固定对照 3/3 干净。
方法控制不证明抽样组件存在竞态。</x:v>
      </x:c>
      <x:c r="G102" s="195" t="str">
        <x:v>not_testable</x:v>
      </x:c>
      <x:c r="H10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2" s="191" t="str">
        <x:f>IFERROR(HYPERLINK("file:///D:/openHarmonyScanner/outputs/01a14d00-bc78-7ac2-9520-210d4b92b1ac/poc/index.json","无专用 PoC"),"无专用 PoC")</x:f>
        <x:v>无专用 PoC</x:v>
      </x:c>
    </x:row>
    <x:row r="103" ht="58" customHeight="1">
      <x:c r="A103" s="175" t="str">
        <x:v>distributeddatamgr_preferences
openharmony/distributeddatamgr_preferences
CR-0098</x:v>
      </x:c>
      <x:c r="B103" s="176" t="str">
        <x:v>ohscanner.cpp.shared_ptr_race</x:v>
      </x:c>
      <x:c r="C103" s="196" t="str">
        <x:v>高优先级</x:v>
      </x:c>
      <x:c r="D103" s="176" t="str">
        <x:v>ohcpp-shared-ptr-race-candidate-001 / CWE-362</x:v>
      </x:c>
      <x:c r="E103" s="176" t="str">
        <x:v>test/native/fuzztest/preferences_fuzzer/preferences_fuzzer.cpp:51
符号：Preferences_</x:v>
      </x:c>
      <x:c r="F103" s="176" t="str">
        <x:v>未运行目标派生 harness；Docker 内通用 TSan 正控 3/3 稳定检出数据竞争，原子固定对照 3/3 干净。
方法控制不证明抽样组件存在竞态。</x:v>
      </x:c>
      <x:c r="G103" s="195" t="str">
        <x:v>not_testable</x:v>
      </x:c>
      <x:c r="H10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3" s="191" t="str">
        <x:f>IFERROR(HYPERLINK("file:///D:/openHarmonyScanner/outputs/01a14d00-bc78-7ac2-9520-210d4b92b1ac/poc/index.json","无专用 PoC"),"无专用 PoC")</x:f>
        <x:v>无专用 PoC</x:v>
      </x:c>
    </x:row>
    <x:row r="104" ht="58" customHeight="1">
      <x:c r="A104" s="175" t="str">
        <x:v>distributeddatamgr_preferences
openharmony/distributeddatamgr_preferences
CR-0099</x:v>
      </x:c>
      <x:c r="B104" s="176" t="str">
        <x:v>ohscanner.cpp.shared_ptr_race</x:v>
      </x:c>
      <x:c r="C104" s="196" t="str">
        <x:v>高优先级</x:v>
      </x:c>
      <x:c r="D104" s="176" t="str">
        <x:v>ohcpp-shared-ptr-race-candidate-001 / CWE-362</x:v>
      </x:c>
      <x:c r="E104" s="176" t="str">
        <x:v>test/native/fuzztest/preferences_fuzzer/preferences_fuzzer.cpp:53
符号：Preferences_</x:v>
      </x:c>
      <x:c r="F104" s="176" t="str">
        <x:v>未运行目标派生 harness；Docker 内通用 TSan 正控 3/3 稳定检出数据竞争，原子固定对照 3/3 干净。
方法控制不证明抽样组件存在竞态。</x:v>
      </x:c>
      <x:c r="G104" s="195" t="str">
        <x:v>not_testable</x:v>
      </x:c>
      <x:c r="H10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4" s="191" t="str">
        <x:f>IFERROR(HYPERLINK("file:///D:/openHarmonyScanner/outputs/01a14d00-bc78-7ac2-9520-210d4b92b1ac/poc/index.json","无专用 PoC"),"无专用 PoC")</x:f>
        <x:v>无专用 PoC</x:v>
      </x:c>
    </x:row>
    <x:row r="105" ht="58" customHeight="1">
      <x:c r="A105" s="175" t="str">
        <x:v>distributeddatamgr_preferences
openharmony/distributeddatamgr_preferences
CR-0100</x:v>
      </x:c>
      <x:c r="B105" s="176" t="str">
        <x:v>ohscanner.cpp.shared_ptr_race</x:v>
      </x:c>
      <x:c r="C105" s="196" t="str">
        <x:v>高优先级</x:v>
      </x:c>
      <x:c r="D105" s="176" t="str">
        <x:v>ohcpp-shared-ptr-race-candidate-001 / CWE-362</x:v>
      </x:c>
      <x:c r="E105" s="176" t="str">
        <x:v>test/native/fuzztest/preferences_fuzzer/preferences_fuzzer.cpp:68
符号：Preferences_</x:v>
      </x:c>
      <x:c r="F105" s="176" t="str">
        <x:v>未运行目标派生 harness；Docker 内通用 TSan 正控 3/3 稳定检出数据竞争，原子固定对照 3/3 干净。
方法控制不证明抽样组件存在竞态。</x:v>
      </x:c>
      <x:c r="G105" s="195" t="str">
        <x:v>not_testable</x:v>
      </x:c>
      <x:c r="H10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5" s="191" t="str">
        <x:f>IFERROR(HYPERLINK("file:///D:/openHarmonyScanner/outputs/01a14d00-bc78-7ac2-9520-210d4b92b1ac/poc/index.json","无专用 PoC"),"无专用 PoC")</x:f>
        <x:v>无专用 PoC</x:v>
      </x:c>
    </x:row>
    <x:row r="106" ht="58" customHeight="1">
      <x:c r="A106" s="175" t="str">
        <x:v>distributeddatamgr_preferences
openharmony/distributeddatamgr_preferences
CR-0101</x:v>
      </x:c>
      <x:c r="B106" s="176" t="str">
        <x:v>ohscanner.cpp.shared_ptr_race</x:v>
      </x:c>
      <x:c r="C106" s="196" t="str">
        <x:v>高优先级</x:v>
      </x:c>
      <x:c r="D106" s="176" t="str">
        <x:v>ohcpp-shared-ptr-race-candidate-001 / CWE-362</x:v>
      </x:c>
      <x:c r="E106" s="176" t="str">
        <x:v>test/native/fuzztest/preferences_fuzzer/preferences_fuzzer.cpp:69
符号：Preferences_</x:v>
      </x:c>
      <x:c r="F106" s="176" t="str">
        <x:v>未运行目标派生 harness；Docker 内通用 TSan 正控 3/3 稳定检出数据竞争，原子固定对照 3/3 干净。
方法控制不证明抽样组件存在竞态。</x:v>
      </x:c>
      <x:c r="G106" s="195" t="str">
        <x:v>not_testable</x:v>
      </x:c>
      <x:c r="H10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6" s="191" t="str">
        <x:f>IFERROR(HYPERLINK("file:///D:/openHarmonyScanner/outputs/01a14d00-bc78-7ac2-9520-210d4b92b1ac/poc/index.json","无专用 PoC"),"无专用 PoC")</x:f>
        <x:v>无专用 PoC</x:v>
      </x:c>
    </x:row>
    <x:row r="107" ht="58" customHeight="1">
      <x:c r="A107" s="175" t="str">
        <x:v>distributeddatamgr_preferences
openharmony/distributeddatamgr_preferences
CR-0102</x:v>
      </x:c>
      <x:c r="B107" s="176" t="str">
        <x:v>ohscanner.cpp.shared_ptr_race</x:v>
      </x:c>
      <x:c r="C107" s="196" t="str">
        <x:v>高优先级</x:v>
      </x:c>
      <x:c r="D107" s="176" t="str">
        <x:v>ohcpp-shared-ptr-race-candidate-001 / CWE-362</x:v>
      </x:c>
      <x:c r="E107" s="176" t="str">
        <x:v>test/native/fuzztest/preferences_fuzzer/preferences_fuzzer.cpp:77
符号：Preferences_</x:v>
      </x:c>
      <x:c r="F107" s="176" t="str">
        <x:v>未运行目标派生 harness；Docker 内通用 TSan 正控 3/3 稳定检出数据竞争，原子固定对照 3/3 干净。
方法控制不证明抽样组件存在竞态。</x:v>
      </x:c>
      <x:c r="G107" s="195" t="str">
        <x:v>not_testable</x:v>
      </x:c>
      <x:c r="H10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7" s="191" t="str">
        <x:f>IFERROR(HYPERLINK("file:///D:/openHarmonyScanner/outputs/01a14d00-bc78-7ac2-9520-210d4b92b1ac/poc/index.json","无专用 PoC"),"无专用 PoC")</x:f>
        <x:v>无专用 PoC</x:v>
      </x:c>
    </x:row>
    <x:row r="108" ht="58" customHeight="1">
      <x:c r="A108" s="175" t="str">
        <x:v>distributeddatamgr_preferences
openharmony/distributeddatamgr_preferences
CR-0103</x:v>
      </x:c>
      <x:c r="B108" s="176" t="str">
        <x:v>ohscanner.cpp.shared_ptr_race</x:v>
      </x:c>
      <x:c r="C108" s="196" t="str">
        <x:v>高优先级</x:v>
      </x:c>
      <x:c r="D108" s="176" t="str">
        <x:v>ohcpp-shared-ptr-race-candidate-001 / CWE-362</x:v>
      </x:c>
      <x:c r="E108" s="176" t="str">
        <x:v>test/native/fuzztest/preferences_fuzzer/preferences_fuzzer.cpp:78
符号：Preferences_</x:v>
      </x:c>
      <x:c r="F108" s="176" t="str">
        <x:v>未运行目标派生 harness；Docker 内通用 TSan 正控 3/3 稳定检出数据竞争，原子固定对照 3/3 干净。
方法控制不证明抽样组件存在竞态。</x:v>
      </x:c>
      <x:c r="G108" s="195" t="str">
        <x:v>not_testable</x:v>
      </x:c>
      <x:c r="H10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8" s="191" t="str">
        <x:f>IFERROR(HYPERLINK("file:///D:/openHarmonyScanner/outputs/01a14d00-bc78-7ac2-9520-210d4b92b1ac/poc/index.json","无专用 PoC"),"无专用 PoC")</x:f>
        <x:v>无专用 PoC</x:v>
      </x:c>
    </x:row>
    <x:row r="109" ht="58" customHeight="1">
      <x:c r="A109" s="175" t="str">
        <x:v>distributeddatamgr_preferences
openharmony/distributeddatamgr_preferences
CR-0104</x:v>
      </x:c>
      <x:c r="B109" s="176" t="str">
        <x:v>ohscanner.cpp.shared_ptr_race</x:v>
      </x:c>
      <x:c r="C109" s="196" t="str">
        <x:v>高优先级</x:v>
      </x:c>
      <x:c r="D109" s="176" t="str">
        <x:v>ohcpp-shared-ptr-race-candidate-001 / CWE-362</x:v>
      </x:c>
      <x:c r="E109" s="176" t="str">
        <x:v>test/native/fuzztest/preferences_fuzzer/preferences_fuzzer.cpp:86
符号：Preferences_</x:v>
      </x:c>
      <x:c r="F109" s="176" t="str">
        <x:v>未运行目标派生 harness；Docker 内通用 TSan 正控 3/3 稳定检出数据竞争，原子固定对照 3/3 干净。
方法控制不证明抽样组件存在竞态。</x:v>
      </x:c>
      <x:c r="G109" s="195" t="str">
        <x:v>not_testable</x:v>
      </x:c>
      <x:c r="H10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09" s="191" t="str">
        <x:f>IFERROR(HYPERLINK("file:///D:/openHarmonyScanner/outputs/01a14d00-bc78-7ac2-9520-210d4b92b1ac/poc/index.json","无专用 PoC"),"无专用 PoC")</x:f>
        <x:v>无专用 PoC</x:v>
      </x:c>
    </x:row>
    <x:row r="110" ht="58" customHeight="1">
      <x:c r="A110" s="175" t="str">
        <x:v>distributeddatamgr_preferences
openharmony/distributeddatamgr_preferences
CR-0105</x:v>
      </x:c>
      <x:c r="B110" s="176" t="str">
        <x:v>ohscanner.cpp.shared_ptr_race</x:v>
      </x:c>
      <x:c r="C110" s="196" t="str">
        <x:v>高优先级</x:v>
      </x:c>
      <x:c r="D110" s="176" t="str">
        <x:v>ohcpp-shared-ptr-race-candidate-001 / CWE-362</x:v>
      </x:c>
      <x:c r="E110" s="176" t="str">
        <x:v>test/native/fuzztest/preferences_fuzzer/preferences_fuzzer.cpp:87
符号：Preferences_</x:v>
      </x:c>
      <x:c r="F110" s="176" t="str">
        <x:v>未运行目标派生 harness；Docker 内通用 TSan 正控 3/3 稳定检出数据竞争，原子固定对照 3/3 干净。
方法控制不证明抽样组件存在竞态。</x:v>
      </x:c>
      <x:c r="G110" s="195" t="str">
        <x:v>not_testable</x:v>
      </x:c>
      <x:c r="H11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0" s="191" t="str">
        <x:f>IFERROR(HYPERLINK("file:///D:/openHarmonyScanner/outputs/01a14d00-bc78-7ac2-9520-210d4b92b1ac/poc/index.json","无专用 PoC"),"无专用 PoC")</x:f>
        <x:v>无专用 PoC</x:v>
      </x:c>
    </x:row>
    <x:row r="111" ht="58" customHeight="1">
      <x:c r="A111" s="175" t="str">
        <x:v>distributeddatamgr_preferences
openharmony/distributeddatamgr_preferences
CR-0106</x:v>
      </x:c>
      <x:c r="B111" s="176" t="str">
        <x:v>ohscanner.cpp.shared_ptr_race</x:v>
      </x:c>
      <x:c r="C111" s="196" t="str">
        <x:v>高优先级</x:v>
      </x:c>
      <x:c r="D111" s="176" t="str">
        <x:v>ohcpp-shared-ptr-race-candidate-001 / CWE-362</x:v>
      </x:c>
      <x:c r="E111" s="176" t="str">
        <x:v>test/native/fuzztest/preferences_fuzzer/preferences_fuzzer.cpp:95
符号：Preferences_</x:v>
      </x:c>
      <x:c r="F111" s="176" t="str">
        <x:v>未运行目标派生 harness；Docker 内通用 TSan 正控 3/3 稳定检出数据竞争，原子固定对照 3/3 干净。
方法控制不证明抽样组件存在竞态。</x:v>
      </x:c>
      <x:c r="G111" s="195" t="str">
        <x:v>not_testable</x:v>
      </x:c>
      <x:c r="H11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1" s="191" t="str">
        <x:f>IFERROR(HYPERLINK("file:///D:/openHarmonyScanner/outputs/01a14d00-bc78-7ac2-9520-210d4b92b1ac/poc/index.json","无专用 PoC"),"无专用 PoC")</x:f>
        <x:v>无专用 PoC</x:v>
      </x:c>
    </x:row>
    <x:row r="112" ht="58" customHeight="1">
      <x:c r="A112" s="175" t="str">
        <x:v>distributeddatamgr_preferences
openharmony/distributeddatamgr_preferences
CR-0107</x:v>
      </x:c>
      <x:c r="B112" s="176" t="str">
        <x:v>ohscanner.cpp.shared_ptr_race</x:v>
      </x:c>
      <x:c r="C112" s="196" t="str">
        <x:v>高优先级</x:v>
      </x:c>
      <x:c r="D112" s="176" t="str">
        <x:v>ohcpp-shared-ptr-race-candidate-001 / CWE-362</x:v>
      </x:c>
      <x:c r="E112" s="176" t="str">
        <x:v>test/native/fuzztest/preferences_fuzzer/preferences_fuzzer.cpp:96
符号：Preferences_</x:v>
      </x:c>
      <x:c r="F112" s="176" t="str">
        <x:v>未运行目标派生 harness；Docker 内通用 TSan 正控 3/3 稳定检出数据竞争，原子固定对照 3/3 干净。
方法控制不证明抽样组件存在竞态。</x:v>
      </x:c>
      <x:c r="G112" s="195" t="str">
        <x:v>not_testable</x:v>
      </x:c>
      <x:c r="H11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2" s="191" t="str">
        <x:f>IFERROR(HYPERLINK("file:///D:/openHarmonyScanner/outputs/01a14d00-bc78-7ac2-9520-210d4b92b1ac/poc/index.json","无专用 PoC"),"无专用 PoC")</x:f>
        <x:v>无专用 PoC</x:v>
      </x:c>
    </x:row>
    <x:row r="113" ht="58" customHeight="1">
      <x:c r="A113" s="175" t="str">
        <x:v>distributeddatamgr_preferences
openharmony/distributeddatamgr_preferences
CR-0108</x:v>
      </x:c>
      <x:c r="B113" s="176" t="str">
        <x:v>ohscanner.cpp.shared_ptr_race</x:v>
      </x:c>
      <x:c r="C113" s="196" t="str">
        <x:v>高优先级</x:v>
      </x:c>
      <x:c r="D113" s="176" t="str">
        <x:v>ohcpp-shared-ptr-race-candidate-001 / CWE-362</x:v>
      </x:c>
      <x:c r="E113" s="176" t="str">
        <x:v>test/native/fuzztest/preferences_fuzzer/preferences_fuzzer.cpp:104
符号：Preferences_</x:v>
      </x:c>
      <x:c r="F113" s="176" t="str">
        <x:v>未运行目标派生 harness；Docker 内通用 TSan 正控 3/3 稳定检出数据竞争，原子固定对照 3/3 干净。
方法控制不证明抽样组件存在竞态。</x:v>
      </x:c>
      <x:c r="G113" s="195" t="str">
        <x:v>not_testable</x:v>
      </x:c>
      <x:c r="H11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3" s="191" t="str">
        <x:f>IFERROR(HYPERLINK("file:///D:/openHarmonyScanner/outputs/01a14d00-bc78-7ac2-9520-210d4b92b1ac/poc/index.json","无专用 PoC"),"无专用 PoC")</x:f>
        <x:v>无专用 PoC</x:v>
      </x:c>
    </x:row>
    <x:row r="114" ht="58" customHeight="1">
      <x:c r="A114" s="175" t="str">
        <x:v>distributeddatamgr_preferences
openharmony/distributeddatamgr_preferences
CR-0109</x:v>
      </x:c>
      <x:c r="B114" s="176" t="str">
        <x:v>ohscanner.cpp.shared_ptr_race</x:v>
      </x:c>
      <x:c r="C114" s="196" t="str">
        <x:v>高优先级</x:v>
      </x:c>
      <x:c r="D114" s="176" t="str">
        <x:v>ohcpp-shared-ptr-race-candidate-001 / CWE-362</x:v>
      </x:c>
      <x:c r="E114" s="176" t="str">
        <x:v>test/native/fuzztest/preferences_fuzzer/preferences_fuzzer.cpp:105
符号：Preferences_</x:v>
      </x:c>
      <x:c r="F114" s="176" t="str">
        <x:v>未运行目标派生 harness；Docker 内通用 TSan 正控 3/3 稳定检出数据竞争，原子固定对照 3/3 干净。
方法控制不证明抽样组件存在竞态。</x:v>
      </x:c>
      <x:c r="G114" s="195" t="str">
        <x:v>not_testable</x:v>
      </x:c>
      <x:c r="H11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4" s="191" t="str">
        <x:f>IFERROR(HYPERLINK("file:///D:/openHarmonyScanner/outputs/01a14d00-bc78-7ac2-9520-210d4b92b1ac/poc/index.json","无专用 PoC"),"无专用 PoC")</x:f>
        <x:v>无专用 PoC</x:v>
      </x:c>
    </x:row>
    <x:row r="115" ht="58" customHeight="1">
      <x:c r="A115" s="175" t="str">
        <x:v>distributeddatamgr_preferences
openharmony/distributeddatamgr_preferences
CR-0110</x:v>
      </x:c>
      <x:c r="B115" s="176" t="str">
        <x:v>ohscanner.cpp.shared_ptr_race</x:v>
      </x:c>
      <x:c r="C115" s="196" t="str">
        <x:v>高优先级</x:v>
      </x:c>
      <x:c r="D115" s="176" t="str">
        <x:v>ohcpp-shared-ptr-race-candidate-001 / CWE-362</x:v>
      </x:c>
      <x:c r="E115" s="176" t="str">
        <x:v>test/native/fuzztest/preferences_fuzzer/preferences_fuzzer.cpp:113
符号：Preferences_</x:v>
      </x:c>
      <x:c r="F115" s="176" t="str">
        <x:v>未运行目标派生 harness；Docker 内通用 TSan 正控 3/3 稳定检出数据竞争，原子固定对照 3/3 干净。
方法控制不证明抽样组件存在竞态。</x:v>
      </x:c>
      <x:c r="G115" s="195" t="str">
        <x:v>not_testable</x:v>
      </x:c>
      <x:c r="H11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5" s="191" t="str">
        <x:f>IFERROR(HYPERLINK("file:///D:/openHarmonyScanner/outputs/01a14d00-bc78-7ac2-9520-210d4b92b1ac/poc/index.json","无专用 PoC"),"无专用 PoC")</x:f>
        <x:v>无专用 PoC</x:v>
      </x:c>
    </x:row>
    <x:row r="116" ht="58" customHeight="1">
      <x:c r="A116" s="175" t="str">
        <x:v>distributeddatamgr_preferences
openharmony/distributeddatamgr_preferences
CR-0111</x:v>
      </x:c>
      <x:c r="B116" s="176" t="str">
        <x:v>ohscanner.cpp.shared_ptr_race</x:v>
      </x:c>
      <x:c r="C116" s="196" t="str">
        <x:v>高优先级</x:v>
      </x:c>
      <x:c r="D116" s="176" t="str">
        <x:v>ohcpp-shared-ptr-race-candidate-001 / CWE-362</x:v>
      </x:c>
      <x:c r="E116" s="176" t="str">
        <x:v>test/native/fuzztest/preferences_fuzzer/preferences_fuzzer.cpp:114
符号：Preferences_</x:v>
      </x:c>
      <x:c r="F116" s="176" t="str">
        <x:v>未运行目标派生 harness；Docker 内通用 TSan 正控 3/3 稳定检出数据竞争，原子固定对照 3/3 干净。
方法控制不证明抽样组件存在竞态。</x:v>
      </x:c>
      <x:c r="G116" s="195" t="str">
        <x:v>not_testable</x:v>
      </x:c>
      <x:c r="H11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6" s="191" t="str">
        <x:f>IFERROR(HYPERLINK("file:///D:/openHarmonyScanner/outputs/01a14d00-bc78-7ac2-9520-210d4b92b1ac/poc/index.json","无专用 PoC"),"无专用 PoC")</x:f>
        <x:v>无专用 PoC</x:v>
      </x:c>
    </x:row>
    <x:row r="117" ht="58" customHeight="1">
      <x:c r="A117" s="175" t="str">
        <x:v>distributeddatamgr_preferences
openharmony/distributeddatamgr_preferences
CR-0112</x:v>
      </x:c>
      <x:c r="B117" s="176" t="str">
        <x:v>ohscanner.cpp.shared_ptr_race</x:v>
      </x:c>
      <x:c r="C117" s="196" t="str">
        <x:v>高优先级</x:v>
      </x:c>
      <x:c r="D117" s="176" t="str">
        <x:v>ohcpp-shared-ptr-race-candidate-001 / CWE-362</x:v>
      </x:c>
      <x:c r="E117" s="176" t="str">
        <x:v>test/native/fuzztest/preferences_fuzzer/preferences_fuzzer.cpp:115
符号：Preferences_</x:v>
      </x:c>
      <x:c r="F117" s="176" t="str">
        <x:v>未运行目标派生 harness；Docker 内通用 TSan 正控 3/3 稳定检出数据竞争，原子固定对照 3/3 干净。
方法控制不证明抽样组件存在竞态。</x:v>
      </x:c>
      <x:c r="G117" s="195" t="str">
        <x:v>not_testable</x:v>
      </x:c>
      <x:c r="H11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7" s="191" t="str">
        <x:f>IFERROR(HYPERLINK("file:///D:/openHarmonyScanner/outputs/01a14d00-bc78-7ac2-9520-210d4b92b1ac/poc/index.json","无专用 PoC"),"无专用 PoC")</x:f>
        <x:v>无专用 PoC</x:v>
      </x:c>
    </x:row>
    <x:row r="118" ht="58" customHeight="1">
      <x:c r="A118" s="175" t="str">
        <x:v>distributeddatamgr_preferences
openharmony/distributeddatamgr_preferences
CR-0113</x:v>
      </x:c>
      <x:c r="B118" s="176" t="str">
        <x:v>ohscanner.cpp.shared_ptr_race</x:v>
      </x:c>
      <x:c r="C118" s="196" t="str">
        <x:v>高优先级</x:v>
      </x:c>
      <x:c r="D118" s="176" t="str">
        <x:v>ohcpp-shared-ptr-race-candidate-001 / CWE-362</x:v>
      </x:c>
      <x:c r="E118" s="176" t="str">
        <x:v>test/native/fuzztest/preferences_fuzzer/preferences_fuzzer.cpp:124
符号：Preferences_</x:v>
      </x:c>
      <x:c r="F118" s="176" t="str">
        <x:v>未运行目标派生 harness；Docker 内通用 TSan 正控 3/3 稳定检出数据竞争，原子固定对照 3/3 干净。
方法控制不证明抽样组件存在竞态。</x:v>
      </x:c>
      <x:c r="G118" s="195" t="str">
        <x:v>not_testable</x:v>
      </x:c>
      <x:c r="H11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8" s="191" t="str">
        <x:f>IFERROR(HYPERLINK("file:///D:/openHarmonyScanner/outputs/01a14d00-bc78-7ac2-9520-210d4b92b1ac/poc/index.json","无专用 PoC"),"无专用 PoC")</x:f>
        <x:v>无专用 PoC</x:v>
      </x:c>
    </x:row>
    <x:row r="119" ht="58" customHeight="1">
      <x:c r="A119" s="175" t="str">
        <x:v>distributeddatamgr_preferences
openharmony/distributeddatamgr_preferences
CR-0114</x:v>
      </x:c>
      <x:c r="B119" s="176" t="str">
        <x:v>ohscanner.cpp.shared_ptr_race</x:v>
      </x:c>
      <x:c r="C119" s="196" t="str">
        <x:v>高优先级</x:v>
      </x:c>
      <x:c r="D119" s="176" t="str">
        <x:v>ohcpp-shared-ptr-race-candidate-001 / CWE-362</x:v>
      </x:c>
      <x:c r="E119" s="176" t="str">
        <x:v>test/native/fuzztest/preferences_fuzzer/preferences_fuzzer.cpp:125
符号：Preferences_</x:v>
      </x:c>
      <x:c r="F119" s="176" t="str">
        <x:v>未运行目标派生 harness；Docker 内通用 TSan 正控 3/3 稳定检出数据竞争，原子固定对照 3/3 干净。
方法控制不证明抽样组件存在竞态。</x:v>
      </x:c>
      <x:c r="G119" s="195" t="str">
        <x:v>not_testable</x:v>
      </x:c>
      <x:c r="H11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19" s="191" t="str">
        <x:f>IFERROR(HYPERLINK("file:///D:/openHarmonyScanner/outputs/01a14d00-bc78-7ac2-9520-210d4b92b1ac/poc/index.json","无专用 PoC"),"无专用 PoC")</x:f>
        <x:v>无专用 PoC</x:v>
      </x:c>
    </x:row>
    <x:row r="120" ht="58" customHeight="1">
      <x:c r="A120" s="175" t="str">
        <x:v>distributeddatamgr_preferences
openharmony/distributeddatamgr_preferences
CR-0115</x:v>
      </x:c>
      <x:c r="B120" s="176" t="str">
        <x:v>ohscanner.cpp.shared_ptr_race</x:v>
      </x:c>
      <x:c r="C120" s="196" t="str">
        <x:v>高优先级</x:v>
      </x:c>
      <x:c r="D120" s="176" t="str">
        <x:v>ohcpp-shared-ptr-race-candidate-001 / CWE-362</x:v>
      </x:c>
      <x:c r="E120" s="176" t="str">
        <x:v>test/native/fuzztest/preferences_fuzzer/preferences_fuzzer.cpp:126
符号：Preferences_</x:v>
      </x:c>
      <x:c r="F120" s="176" t="str">
        <x:v>未运行目标派生 harness；Docker 内通用 TSan 正控 3/3 稳定检出数据竞争，原子固定对照 3/3 干净。
方法控制不证明抽样组件存在竞态。</x:v>
      </x:c>
      <x:c r="G120" s="195" t="str">
        <x:v>not_testable</x:v>
      </x:c>
      <x:c r="H12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20" s="191" t="str">
        <x:f>IFERROR(HYPERLINK("file:///D:/openHarmonyScanner/outputs/01a14d00-bc78-7ac2-9520-210d4b92b1ac/poc/index.json","无专用 PoC"),"无专用 PoC")</x:f>
        <x:v>无专用 PoC</x:v>
      </x:c>
    </x:row>
    <x:row r="121" ht="58" customHeight="1">
      <x:c r="A121" s="175" t="str">
        <x:v>distributedhardware_mechbody_controller
openharmony/distributedhardware_mechbody_controller
CR-0116</x:v>
      </x:c>
      <x:c r="B121" s="176" t="str">
        <x:v>ohscanner.interface.ipc</x:v>
      </x:c>
      <x:c r="C121" s="182" t="str">
        <x:v>普通优先级</x:v>
      </x:c>
      <x:c r="D121" s="176" t="str">
        <x:v>ipc.relay.descriptor-boundary / CWE-441</x:v>
      </x:c>
      <x:c r="E121" s="176" t="str">
        <x:v>interface/ets/mech_manager/src/ani_mech_manager_stub.cpp:50
符号：AniMechManagerStub::OnRemoteRequest</x:v>
      </x:c>
      <x:c r="F121" s="176" t="str">
        <x:v>未运行目标派生 harness；通用 sanitizer 控制仅验证方法可用，不能替代产品入口、权限边界和 CIA 影响证明。</x:v>
      </x:c>
      <x:c r="G121" s="195" t="str">
        <x:v>not_testable</x:v>
      </x:c>
      <x:c r="H121" s="176" t="str">
        <x:v>1) 补充 descriptor 解析边界、输入长度与目标缓冲区容量的完整数据流
2) 证明真实 IPC 入口、可控触发条件和具体 CIA 影响</x:v>
      </x:c>
      <x:c r="I121" s="191" t="str">
        <x:f>IFERROR(HYPERLINK("file:///D:/openHarmonyScanner/outputs/01a14d00-bc78-7ac2-9520-210d4b92b1ac/poc/index.json","无专用 PoC"),"无专用 PoC")</x:f>
        <x:v>无专用 PoC</x:v>
      </x:c>
    </x:row>
    <x:row r="122" ht="58" customHeight="1">
      <x:c r="A122" s="175" t="str">
        <x:v>distributedhardware_mechbody_controller
openharmony/distributedhardware_mechbody_controller
CR-0117</x:v>
      </x:c>
      <x:c r="B122" s="176" t="str">
        <x:v>ohscanner.interface.ipc</x:v>
      </x:c>
      <x:c r="C122" s="182" t="str">
        <x:v>普通优先级</x:v>
      </x:c>
      <x:c r="D122" s="176" t="str">
        <x:v>ipc.relay.descriptor-boundary / CWE-441</x:v>
      </x:c>
      <x:c r="E122" s="176" t="str">
        <x:v>interface/napi/mech_manager/js_mech_manager_stub.cpp:43
符号：JsMechManagerStub::OnRemoteRequest</x:v>
      </x:c>
      <x:c r="F122" s="176" t="str">
        <x:v>未运行目标派生 harness；通用 sanitizer 控制仅验证方法可用，不能替代产品入口、权限边界和 CIA 影响证明。</x:v>
      </x:c>
      <x:c r="G122" s="195" t="str">
        <x:v>not_testable</x:v>
      </x:c>
      <x:c r="H122" s="176" t="str">
        <x:v>1) 补充 descriptor 解析边界、输入长度与目标缓冲区容量的完整数据流
2) 证明真实 IPC 入口、可控触发条件和具体 CIA 影响</x:v>
      </x:c>
      <x:c r="I122" s="191" t="str">
        <x:f>IFERROR(HYPERLINK("file:///D:/openHarmonyScanner/outputs/01a14d00-bc78-7ac2-9520-210d4b92b1ac/poc/index.json","无专用 PoC"),"无专用 PoC")</x:f>
        <x:v>无专用 PoC</x:v>
      </x:c>
    </x:row>
    <x:row r="123" ht="58" customHeight="1">
      <x:c r="A123" s="175" t="str">
        <x:v>distributedhardware_mechbody_controller
openharmony/distributedhardware_mechbody_controller
CR-0118</x:v>
      </x:c>
      <x:c r="B123" s="176" t="str">
        <x:v>ohscanner.interface.ipc</x:v>
      </x:c>
      <x:c r="C123" s="182" t="str">
        <x:v>普通优先级</x:v>
      </x:c>
      <x:c r="D123" s="176" t="str">
        <x:v>ipc.relay.descriptor-boundary / CWE-441</x:v>
      </x:c>
      <x:c r="E123" s="176" t="str">
        <x:v>services/src/mechbody_controller_stub.cpp:123
符号：MechBodyControllerStub::OnRemoteRequest</x:v>
      </x:c>
      <x:c r="F123" s="176" t="str">
        <x:v>未运行目标派生 harness；通用 sanitizer 控制仅验证方法可用，不能替代产品入口、权限边界和 CIA 影响证明。</x:v>
      </x:c>
      <x:c r="G123" s="195" t="str">
        <x:v>not_testable</x:v>
      </x:c>
      <x:c r="H123" s="176" t="str">
        <x:v>1) 补充 descriptor 解析边界、输入长度与目标缓冲区容量的完整数据流
2) 证明真实 IPC 入口、可控触发条件和具体 CIA 影响</x:v>
      </x:c>
      <x:c r="I123" s="191" t="str">
        <x:f>IFERROR(HYPERLINK("file:///D:/openHarmonyScanner/outputs/01a14d00-bc78-7ac2-9520-210d4b92b1ac/poc/index.json","无专用 PoC"),"无专用 PoC")</x:f>
        <x:v>无专用 PoC</x:v>
      </x:c>
    </x:row>
    <x:row r="124" ht="58" customHeight="1">
      <x:c r="A124" s="175" t="str">
        <x:v>hiviewdfx_faultloggerd
openharmony/hiviewdfx_faultloggerd
CR-0119</x:v>
      </x:c>
      <x:c r="B124" s="176" t="str">
        <x:v>ohscanner.cpp.shared_ptr_race</x:v>
      </x:c>
      <x:c r="C124" s="196" t="str">
        <x:v>高优先级</x:v>
      </x:c>
      <x:c r="D124" s="176" t="str">
        <x:v>ohcpp-shared-ptr-race-candidate-001 / CWE-362</x:v>
      </x:c>
      <x:c r="E124" s="176" t="str">
        <x:v>interfaces/innerkits/backtrace/fp_backtrace.cpp:80
符号：maps_</x:v>
      </x:c>
      <x:c r="F124" s="176" t="str">
        <x:v>未运行目标派生 harness；Docker 内通用 TSan 正控 3/3 稳定检出数据竞争，原子固定对照 3/3 干净。
方法控制不证明抽样组件存在竞态。</x:v>
      </x:c>
      <x:c r="G124" s="195" t="str">
        <x:v>not_testable</x:v>
      </x:c>
      <x:c r="H12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24" s="191" t="str">
        <x:f>IFERROR(HYPERLINK("file:///D:/openHarmonyScanner/outputs/01a14d00-bc78-7ac2-9520-210d4b92b1ac/poc/index.json","无专用 PoC"),"无专用 PoC")</x:f>
        <x:v>无专用 PoC</x:v>
      </x:c>
    </x:row>
    <x:row r="125" ht="58" customHeight="1">
      <x:c r="A125" s="175" t="str">
        <x:v>hiviewdfx_faultloggerd
openharmony/hiviewdfx_faultloggerd
CR-0120</x:v>
      </x:c>
      <x:c r="B125" s="176" t="str">
        <x:v>ohscanner.cpp.shared_ptr_race</x:v>
      </x:c>
      <x:c r="C125" s="196" t="str">
        <x:v>高优先级</x:v>
      </x:c>
      <x:c r="D125" s="176" t="str">
        <x:v>ohcpp-shared-ptr-race-candidate-001 / CWE-362</x:v>
      </x:c>
      <x:c r="E125" s="176" t="str">
        <x:v>interfaces/innerkits/backtrace/fp_backtrace.cpp:81
符号：maps_</x:v>
      </x:c>
      <x:c r="F125" s="176" t="str">
        <x:v>未运行目标派生 harness；Docker 内通用 TSan 正控 3/3 稳定检出数据竞争，原子固定对照 3/3 干净。
方法控制不证明抽样组件存在竞态。</x:v>
      </x:c>
      <x:c r="G125" s="195" t="str">
        <x:v>not_testable</x:v>
      </x:c>
      <x:c r="H12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25" s="191" t="str">
        <x:f>IFERROR(HYPERLINK("file:///D:/openHarmonyScanner/outputs/01a14d00-bc78-7ac2-9520-210d4b92b1ac/poc/index.json","无专用 PoC"),"无专用 PoC")</x:f>
        <x:v>无专用 PoC</x:v>
      </x:c>
    </x:row>
    <x:row r="126" ht="58" customHeight="1">
      <x:c r="A126" s="175" t="str">
        <x:v>hiviewdfx_faultloggerd
openharmony/hiviewdfx_faultloggerd
CR-0121</x:v>
      </x:c>
      <x:c r="B126" s="176" t="str">
        <x:v>ohscanner.cpp.shared_ptr_race</x:v>
      </x:c>
      <x:c r="C126" s="196" t="str">
        <x:v>高优先级</x:v>
      </x:c>
      <x:c r="D126" s="176" t="str">
        <x:v>ohcpp-shared-ptr-race-candidate-001 / CWE-362</x:v>
      </x:c>
      <x:c r="E126" s="176" t="str">
        <x:v>interfaces/innerkits/backtrace/fp_backtrace.cpp:85
符号：maps_</x:v>
      </x:c>
      <x:c r="F126" s="176" t="str">
        <x:v>未运行目标派生 harness；Docker 内通用 TSan 正控 3/3 稳定检出数据竞争，原子固定对照 3/3 干净。
方法控制不证明抽样组件存在竞态。</x:v>
      </x:c>
      <x:c r="G126" s="195" t="str">
        <x:v>not_testable</x:v>
      </x:c>
      <x:c r="H12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26" s="191" t="str">
        <x:f>IFERROR(HYPERLINK("file:///D:/openHarmonyScanner/outputs/01a14d00-bc78-7ac2-9520-210d4b92b1ac/poc/index.json","无专用 PoC"),"无专用 PoC")</x:f>
        <x:v>无专用 PoC</x:v>
      </x:c>
    </x:row>
    <x:row r="127" ht="58" customHeight="1">
      <x:c r="A127" s="175" t="str">
        <x:v>hiviewdfx_faultloggerd
openharmony/hiviewdfx_faultloggerd
CR-0122</x:v>
      </x:c>
      <x:c r="B127" s="176" t="str">
        <x:v>ohscanner.cpp.shared_ptr_race</x:v>
      </x:c>
      <x:c r="C127" s="196" t="str">
        <x:v>高优先级</x:v>
      </x:c>
      <x:c r="D127" s="176" t="str">
        <x:v>ohcpp-shared-ptr-race-candidate-001 / CWE-362</x:v>
      </x:c>
      <x:c r="E127" s="176" t="str">
        <x:v>interfaces/innerkits/backtrace/fp_backtrace.cpp:86
符号：maps_</x:v>
      </x:c>
      <x:c r="F127" s="176" t="str">
        <x:v>未运行目标派生 harness；Docker 内通用 TSan 正控 3/3 稳定检出数据竞争，原子固定对照 3/3 干净。
方法控制不证明抽样组件存在竞态。</x:v>
      </x:c>
      <x:c r="G127" s="195" t="str">
        <x:v>not_testable</x:v>
      </x:c>
      <x:c r="H12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27" s="191" t="str">
        <x:f>IFERROR(HYPERLINK("file:///D:/openHarmonyScanner/outputs/01a14d00-bc78-7ac2-9520-210d4b92b1ac/poc/index.json","无专用 PoC"),"无专用 PoC")</x:f>
        <x:v>无专用 PoC</x:v>
      </x:c>
    </x:row>
    <x:row r="128" ht="58" customHeight="1">
      <x:c r="A128" s="175" t="str">
        <x:v>hiviewdfx_faultloggerd
openharmony/hiviewdfx_faultloggerd
CR-0123</x:v>
      </x:c>
      <x:c r="B128" s="176" t="str">
        <x:v>ohscanner.cpp.shared_ptr_race</x:v>
      </x:c>
      <x:c r="C128" s="196" t="str">
        <x:v>高优先级</x:v>
      </x:c>
      <x:c r="D128" s="176" t="str">
        <x:v>ohcpp-shared-ptr-race-candidate-001 / CWE-362</x:v>
      </x:c>
      <x:c r="E128" s="176" t="str">
        <x:v>interfaces/innerkits/backtrace/fp_backtrace.cpp:92
符号：maps_</x:v>
      </x:c>
      <x:c r="F128" s="176" t="str">
        <x:v>未运行目标派生 harness；Docker 内通用 TSan 正控 3/3 稳定检出数据竞争，原子固定对照 3/3 干净。
方法控制不证明抽样组件存在竞态。</x:v>
      </x:c>
      <x:c r="G128" s="195" t="str">
        <x:v>not_testable</x:v>
      </x:c>
      <x:c r="H12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28" s="191" t="str">
        <x:f>IFERROR(HYPERLINK("file:///D:/openHarmonyScanner/outputs/01a14d00-bc78-7ac2-9520-210d4b92b1ac/poc/index.json","无专用 PoC"),"无专用 PoC")</x:f>
        <x:v>无专用 PoC</x:v>
      </x:c>
    </x:row>
    <x:row r="129" ht="58" customHeight="1">
      <x:c r="A129" s="175" t="str">
        <x:v>hiviewdfx_faultloggerd
openharmony/hiviewdfx_faultloggerd
CR-0124</x:v>
      </x:c>
      <x:c r="B129" s="176" t="str">
        <x:v>ohscanner.cpp.shared_ptr_race</x:v>
      </x:c>
      <x:c r="C129" s="196" t="str">
        <x:v>高优先级</x:v>
      </x:c>
      <x:c r="D129" s="176" t="str">
        <x:v>ohcpp-shared-ptr-race-candidate-001 / CWE-362</x:v>
      </x:c>
      <x:c r="E129" s="176" t="str">
        <x:v>interfaces/innerkits/stack_printer/src/stack_printer.cpp:127
符号：root_</x:v>
      </x:c>
      <x:c r="F129" s="176" t="str">
        <x:v>未运行目标派生 harness；Docker 内通用 TSan 正控 3/3 稳定检出数据竞争，原子固定对照 3/3 干净。
方法控制不证明抽样组件存在竞态。</x:v>
      </x:c>
      <x:c r="G129" s="195" t="str">
        <x:v>not_testable</x:v>
      </x:c>
      <x:c r="H12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29" s="191" t="str">
        <x:f>IFERROR(HYPERLINK("file:///D:/openHarmonyScanner/outputs/01a14d00-bc78-7ac2-9520-210d4b92b1ac/poc/index.json","无专用 PoC"),"无专用 PoC")</x:f>
        <x:v>无专用 PoC</x:v>
      </x:c>
    </x:row>
    <x:row r="130" ht="58" customHeight="1">
      <x:c r="A130" s="175" t="str">
        <x:v>hiviewdfx_faultloggerd
openharmony/hiviewdfx_faultloggerd
CR-0125</x:v>
      </x:c>
      <x:c r="B130" s="176" t="str">
        <x:v>ohscanner.cpp.shared_ptr_race</x:v>
      </x:c>
      <x:c r="C130" s="196" t="str">
        <x:v>高优先级</x:v>
      </x:c>
      <x:c r="D130" s="176" t="str">
        <x:v>ohcpp-shared-ptr-race-candidate-001 / CWE-362</x:v>
      </x:c>
      <x:c r="E130" s="176" t="str">
        <x:v>interfaces/innerkits/unwinder/include/dfx_accessors.h:85
符号：accessors_</x:v>
      </x:c>
      <x:c r="F130" s="176" t="str">
        <x:v>未运行目标派生 harness；Docker 内通用 TSan 正控 3/3 稳定检出数据竞争，原子固定对照 3/3 干净。
方法控制不证明抽样组件存在竞态。</x:v>
      </x:c>
      <x:c r="G130" s="195" t="str">
        <x:v>not_testable</x:v>
      </x:c>
      <x:c r="H13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0" s="191" t="str">
        <x:f>IFERROR(HYPERLINK("file:///D:/openHarmonyScanner/outputs/01a14d00-bc78-7ac2-9520-210d4b92b1ac/poc/index.json","无专用 PoC"),"无专用 PoC")</x:f>
        <x:v>无专用 PoC</x:v>
      </x:c>
    </x:row>
    <x:row r="131" ht="58" customHeight="1">
      <x:c r="A131" s="175" t="str">
        <x:v>hiviewdfx_faultloggerd
openharmony/hiviewdfx_faultloggerd
CR-0126</x:v>
      </x:c>
      <x:c r="B131" s="176" t="str">
        <x:v>ohscanner.cpp.shared_ptr_race</x:v>
      </x:c>
      <x:c r="C131" s="196" t="str">
        <x:v>高优先级</x:v>
      </x:c>
      <x:c r="D131" s="176" t="str">
        <x:v>ohcpp-shared-ptr-race-candidate-001 / CWE-362</x:v>
      </x:c>
      <x:c r="E131" s="176" t="str">
        <x:v>interfaces/innerkits/unwinder/include/dfx_elf_parser.h:46
符号：mmap_</x:v>
      </x:c>
      <x:c r="F131" s="176" t="str">
        <x:v>未运行目标派生 harness；Docker 内通用 TSan 正控 3/3 稳定检出数据竞争，原子固定对照 3/3 干净。
方法控制不证明抽样组件存在竞态。</x:v>
      </x:c>
      <x:c r="G131" s="195" t="str">
        <x:v>not_testable</x:v>
      </x:c>
      <x:c r="H13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1" s="191" t="str">
        <x:f>IFERROR(HYPERLINK("file:///D:/openHarmonyScanner/outputs/01a14d00-bc78-7ac2-9520-210d4b92b1ac/poc/index.json","无专用 PoC"),"无专用 PoC")</x:f>
        <x:v>无专用 PoC</x:v>
      </x:c>
    </x:row>
    <x:row r="132" ht="58" customHeight="1">
      <x:c r="A132" s="175" t="str">
        <x:v>hiviewdfx_faultloggerd
openharmony/hiviewdfx_faultloggerd
CR-0127</x:v>
      </x:c>
      <x:c r="B132" s="176" t="str">
        <x:v>ohscanner.cpp.shared_ptr_race</x:v>
      </x:c>
      <x:c r="C132" s="196" t="str">
        <x:v>高优先级</x:v>
      </x:c>
      <x:c r="D132" s="176" t="str">
        <x:v>ohcpp-shared-ptr-race-candidate-001 / CWE-362</x:v>
      </x:c>
      <x:c r="E132" s="176" t="str">
        <x:v>interfaces/innerkits/unwinder/include/dwarf_cfa_instructions.h:31
符号：memory_</x:v>
      </x:c>
      <x:c r="F132" s="176" t="str">
        <x:v>未运行目标派生 harness；Docker 内通用 TSan 正控 3/3 稳定检出数据竞争，原子固定对照 3/3 干净。
方法控制不证明抽样组件存在竞态。</x:v>
      </x:c>
      <x:c r="G132" s="195" t="str">
        <x:v>not_testable</x:v>
      </x:c>
      <x:c r="H13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2" s="191" t="str">
        <x:f>IFERROR(HYPERLINK("file:///D:/openHarmonyScanner/outputs/01a14d00-bc78-7ac2-9520-210d4b92b1ac/poc/index.json","无专用 PoC"),"无专用 PoC")</x:f>
        <x:v>无专用 PoC</x:v>
      </x:c>
    </x:row>
    <x:row r="133" ht="58" customHeight="1">
      <x:c r="A133" s="175" t="str">
        <x:v>hiviewdfx_faultloggerd
openharmony/hiviewdfx_faultloggerd
CR-0128</x:v>
      </x:c>
      <x:c r="B133" s="176" t="str">
        <x:v>ohscanner.cpp.shared_ptr_race</x:v>
      </x:c>
      <x:c r="C133" s="196" t="str">
        <x:v>高优先级</x:v>
      </x:c>
      <x:c r="D133" s="176" t="str">
        <x:v>ohcpp-shared-ptr-race-candidate-001 / CWE-362</x:v>
      </x:c>
      <x:c r="E133" s="176" t="str">
        <x:v>interfaces/innerkits/unwinder/include/dwarf_op.h:40
符号：memory_</x:v>
      </x:c>
      <x:c r="F133" s="176" t="str">
        <x:v>未运行目标派生 harness；Docker 内通用 TSan 正控 3/3 稳定检出数据竞争，原子固定对照 3/3 干净。
方法控制不证明抽样组件存在竞态。</x:v>
      </x:c>
      <x:c r="G133" s="195" t="str">
        <x:v>not_testable</x:v>
      </x:c>
      <x:c r="H13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3" s="191" t="str">
        <x:f>IFERROR(HYPERLINK("file:///D:/openHarmonyScanner/outputs/01a14d00-bc78-7ac2-9520-210d4b92b1ac/poc/index.json","无专用 PoC"),"无专用 PoC")</x:f>
        <x:v>无专用 PoC</x:v>
      </x:c>
    </x:row>
    <x:row r="134" ht="58" customHeight="1">
      <x:c r="A134" s="175" t="str">
        <x:v>hiviewdfx_faultloggerd
openharmony/hiviewdfx_faultloggerd
CR-0129</x:v>
      </x:c>
      <x:c r="B134" s="176" t="str">
        <x:v>ohscanner.cpp.shared_ptr_race</x:v>
      </x:c>
      <x:c r="C134" s="196" t="str">
        <x:v>高优先级</x:v>
      </x:c>
      <x:c r="D134" s="176" t="str">
        <x:v>ohcpp-shared-ptr-race-candidate-001 / CWE-362</x:v>
      </x:c>
      <x:c r="E134" s="176" t="str">
        <x:v>interfaces/innerkits/unwinder/include/dwarf_op.h:85
符号：memory_</x:v>
      </x:c>
      <x:c r="F134" s="176" t="str">
        <x:v>未运行目标派生 harness；Docker 内通用 TSan 正控 3/3 稳定检出数据竞争，原子固定对照 3/3 干净。
方法控制不证明抽样组件存在竞态。</x:v>
      </x:c>
      <x:c r="G134" s="195" t="str">
        <x:v>not_testable</x:v>
      </x:c>
      <x:c r="H13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4" s="191" t="str">
        <x:f>IFERROR(HYPERLINK("file:///D:/openHarmonyScanner/outputs/01a14d00-bc78-7ac2-9520-210d4b92b1ac/poc/index.json","无专用 PoC"),"无专用 PoC")</x:f>
        <x:v>无专用 PoC</x:v>
      </x:c>
    </x:row>
    <x:row r="135" ht="58" customHeight="1">
      <x:c r="A135" s="175" t="str">
        <x:v>hiviewdfx_faultloggerd
openharmony/hiviewdfx_faultloggerd
CR-0130</x:v>
      </x:c>
      <x:c r="B135" s="176" t="str">
        <x:v>ohscanner.cpp.shared_ptr_race</x:v>
      </x:c>
      <x:c r="C135" s="196" t="str">
        <x:v>高优先级</x:v>
      </x:c>
      <x:c r="D135" s="176" t="str">
        <x:v>ohcpp-shared-ptr-race-candidate-001 / CWE-362</x:v>
      </x:c>
      <x:c r="E135" s="176" t="str">
        <x:v>interfaces/innerkits/unwinder/include/dwarf_op.h:98
符号：memory_</x:v>
      </x:c>
      <x:c r="F135" s="176" t="str">
        <x:v>未运行目标派生 harness；Docker 内通用 TSan 正控 3/3 稳定检出数据竞争，原子固定对照 3/3 干净。
方法控制不证明抽样组件存在竞态。</x:v>
      </x:c>
      <x:c r="G135" s="195" t="str">
        <x:v>not_testable</x:v>
      </x:c>
      <x:c r="H13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5" s="191" t="str">
        <x:f>IFERROR(HYPERLINK("file:///D:/openHarmonyScanner/outputs/01a14d00-bc78-7ac2-9520-210d4b92b1ac/poc/index.json","无专用 PoC"),"无专用 PoC")</x:f>
        <x:v>无专用 PoC</x:v>
      </x:c>
    </x:row>
    <x:row r="136" ht="58" customHeight="1">
      <x:c r="A136" s="175" t="str">
        <x:v>hiviewdfx_faultloggerd
openharmony/hiviewdfx_faultloggerd
CR-0131</x:v>
      </x:c>
      <x:c r="B136" s="176" t="str">
        <x:v>ohscanner.cpp.shared_ptr_race</x:v>
      </x:c>
      <x:c r="C136" s="196" t="str">
        <x:v>高优先级</x:v>
      </x:c>
      <x:c r="D136" s="176" t="str">
        <x:v>ohcpp-shared-ptr-race-candidate-001 / CWE-362</x:v>
      </x:c>
      <x:c r="E136" s="176" t="str">
        <x:v>interfaces/innerkits/unwinder/include/dwarf_op.h:102
符号：memory_</x:v>
      </x:c>
      <x:c r="F136" s="176" t="str">
        <x:v>未运行目标派生 harness；Docker 内通用 TSan 正控 3/3 稳定检出数据竞争，原子固定对照 3/3 干净。
方法控制不证明抽样组件存在竞态。</x:v>
      </x:c>
      <x:c r="G136" s="195" t="str">
        <x:v>not_testable</x:v>
      </x:c>
      <x:c r="H13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6" s="191" t="str">
        <x:f>IFERROR(HYPERLINK("file:///D:/openHarmonyScanner/outputs/01a14d00-bc78-7ac2-9520-210d4b92b1ac/poc/index.json","无专用 PoC"),"无专用 PoC")</x:f>
        <x:v>无专用 PoC</x:v>
      </x:c>
    </x:row>
    <x:row r="137" ht="58" customHeight="1">
      <x:c r="A137" s="175" t="str">
        <x:v>hiviewdfx_faultloggerd
openharmony/hiviewdfx_faultloggerd
CR-0132</x:v>
      </x:c>
      <x:c r="B137" s="176" t="str">
        <x:v>ohscanner.cpp.shared_ptr_race</x:v>
      </x:c>
      <x:c r="C137" s="196" t="str">
        <x:v>高优先级</x:v>
      </x:c>
      <x:c r="D137" s="176" t="str">
        <x:v>ohcpp-shared-ptr-race-candidate-001 / CWE-362</x:v>
      </x:c>
      <x:c r="E137" s="176" t="str">
        <x:v>interfaces/innerkits/unwinder/include/dwarf_op.h:108
符号：memory_</x:v>
      </x:c>
      <x:c r="F137" s="176" t="str">
        <x:v>未运行目标派生 harness；Docker 内通用 TSan 正控 3/3 稳定检出数据竞争，原子固定对照 3/3 干净。
方法控制不证明抽样组件存在竞态。</x:v>
      </x:c>
      <x:c r="G137" s="195" t="str">
        <x:v>not_testable</x:v>
      </x:c>
      <x:c r="H13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7" s="191" t="str">
        <x:f>IFERROR(HYPERLINK("file:///D:/openHarmonyScanner/outputs/01a14d00-bc78-7ac2-9520-210d4b92b1ac/poc/index.json","无专用 PoC"),"无专用 PoC")</x:f>
        <x:v>无专用 PoC</x:v>
      </x:c>
    </x:row>
    <x:row r="138" ht="58" customHeight="1">
      <x:c r="A138" s="175" t="str">
        <x:v>hiviewdfx_faultloggerd
openharmony/hiviewdfx_faultloggerd
CR-0133</x:v>
      </x:c>
      <x:c r="B138" s="176" t="str">
        <x:v>ohscanner.cpp.shared_ptr_race</x:v>
      </x:c>
      <x:c r="C138" s="196" t="str">
        <x:v>高优先级</x:v>
      </x:c>
      <x:c r="D138" s="176" t="str">
        <x:v>ohcpp-shared-ptr-race-candidate-001 / CWE-362</x:v>
      </x:c>
      <x:c r="E138" s="176" t="str">
        <x:v>interfaces/innerkits/unwinder/include/dwarf_op.h:115
符号：memory_</x:v>
      </x:c>
      <x:c r="F138" s="176" t="str">
        <x:v>未运行目标派生 harness；Docker 内通用 TSan 正控 3/3 稳定检出数据竞争，原子固定对照 3/3 干净。
方法控制不证明抽样组件存在竞态。</x:v>
      </x:c>
      <x:c r="G138" s="195" t="str">
        <x:v>not_testable</x:v>
      </x:c>
      <x:c r="H13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8" s="191" t="str">
        <x:f>IFERROR(HYPERLINK("file:///D:/openHarmonyScanner/outputs/01a14d00-bc78-7ac2-9520-210d4b92b1ac/poc/index.json","无专用 PoC"),"无专用 PoC")</x:f>
        <x:v>无专用 PoC</x:v>
      </x:c>
    </x:row>
    <x:row r="139" ht="58" customHeight="1">
      <x:c r="A139" s="175" t="str">
        <x:v>hiviewdfx_faultloggerd
openharmony/hiviewdfx_faultloggerd
CR-0134</x:v>
      </x:c>
      <x:c r="B139" s="176" t="str">
        <x:v>ohscanner.cpp.shared_ptr_race</x:v>
      </x:c>
      <x:c r="C139" s="196" t="str">
        <x:v>高优先级</x:v>
      </x:c>
      <x:c r="D139" s="176" t="str">
        <x:v>ohcpp-shared-ptr-race-candidate-001 / CWE-362</x:v>
      </x:c>
      <x:c r="E139" s="176" t="str">
        <x:v>interfaces/innerkits/unwinder/include/dwarf_op.h:124
符号：memory_</x:v>
      </x:c>
      <x:c r="F139" s="176" t="str">
        <x:v>未运行目标派生 harness；Docker 内通用 TSan 正控 3/3 稳定检出数据竞争，原子固定对照 3/3 干净。
方法控制不证明抽样组件存在竞态。</x:v>
      </x:c>
      <x:c r="G139" s="195" t="str">
        <x:v>not_testable</x:v>
      </x:c>
      <x:c r="H13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39" s="191" t="str">
        <x:f>IFERROR(HYPERLINK("file:///D:/openHarmonyScanner/outputs/01a14d00-bc78-7ac2-9520-210d4b92b1ac/poc/index.json","无专用 PoC"),"无专用 PoC")</x:f>
        <x:v>无专用 PoC</x:v>
      </x:c>
    </x:row>
    <x:row r="140" ht="58" customHeight="1">
      <x:c r="A140" s="175" t="str">
        <x:v>hiviewdfx_faultloggerd
openharmony/hiviewdfx_faultloggerd
CR-0135</x:v>
      </x:c>
      <x:c r="B140" s="176" t="str">
        <x:v>ohscanner.cpp.shared_ptr_race</x:v>
      </x:c>
      <x:c r="C140" s="196" t="str">
        <x:v>高优先级</x:v>
      </x:c>
      <x:c r="D140" s="176" t="str">
        <x:v>ohcpp-shared-ptr-race-candidate-001 / CWE-362</x:v>
      </x:c>
      <x:c r="E140" s="176" t="str">
        <x:v>interfaces/innerkits/unwinder/include/dwarf_op.h:165
符号：memory_</x:v>
      </x:c>
      <x:c r="F140" s="176" t="str">
        <x:v>未运行目标派生 harness；Docker 内通用 TSan 正控 3/3 稳定检出数据竞争，原子固定对照 3/3 干净。
方法控制不证明抽样组件存在竞态。</x:v>
      </x:c>
      <x:c r="G140" s="195" t="str">
        <x:v>not_testable</x:v>
      </x:c>
      <x:c r="H14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0" s="191" t="str">
        <x:f>IFERROR(HYPERLINK("file:///D:/openHarmonyScanner/outputs/01a14d00-bc78-7ac2-9520-210d4b92b1ac/poc/index.json","无专用 PoC"),"无专用 PoC")</x:f>
        <x:v>无专用 PoC</x:v>
      </x:c>
    </x:row>
    <x:row r="141" ht="58" customHeight="1">
      <x:c r="A141" s="175" t="str">
        <x:v>hiviewdfx_faultloggerd
openharmony/hiviewdfx_faultloggerd
CR-0136</x:v>
      </x:c>
      <x:c r="B141" s="176" t="str">
        <x:v>ohscanner.cpp.shared_ptr_race</x:v>
      </x:c>
      <x:c r="C141" s="196" t="str">
        <x:v>高优先级</x:v>
      </x:c>
      <x:c r="D141" s="176" t="str">
        <x:v>ohcpp-shared-ptr-race-candidate-001 / CWE-362</x:v>
      </x:c>
      <x:c r="E141" s="176" t="str">
        <x:v>interfaces/innerkits/unwinder/include/dwarf_op.h:307
符号：memory_</x:v>
      </x:c>
      <x:c r="F141" s="176" t="str">
        <x:v>未运行目标派生 harness；Docker 内通用 TSan 正控 3/3 稳定检出数据竞争，原子固定对照 3/3 干净。
方法控制不证明抽样组件存在竞态。</x:v>
      </x:c>
      <x:c r="G141" s="195" t="str">
        <x:v>not_testable</x:v>
      </x:c>
      <x:c r="H14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1" s="191" t="str">
        <x:f>IFERROR(HYPERLINK("file:///D:/openHarmonyScanner/outputs/01a14d00-bc78-7ac2-9520-210d4b92b1ac/poc/index.json","无专用 PoC"),"无专用 PoC")</x:f>
        <x:v>无专用 PoC</x:v>
      </x:c>
    </x:row>
    <x:row r="142" ht="58" customHeight="1">
      <x:c r="A142" s="175" t="str">
        <x:v>hiviewdfx_faultloggerd
openharmony/hiviewdfx_faultloggerd
CR-0137</x:v>
      </x:c>
      <x:c r="B142" s="176" t="str">
        <x:v>ohscanner.cpp.shared_ptr_race</x:v>
      </x:c>
      <x:c r="C142" s="196" t="str">
        <x:v>高优先级</x:v>
      </x:c>
      <x:c r="D142" s="176" t="str">
        <x:v>ohcpp-shared-ptr-race-candidate-001 / CWE-362</x:v>
      </x:c>
      <x:c r="E142" s="176" t="str">
        <x:v>interfaces/innerkits/unwinder/include/dwarf_op.h:350
符号：memory_</x:v>
      </x:c>
      <x:c r="F142" s="176" t="str">
        <x:v>未运行目标派生 harness；Docker 内通用 TSan 正控 3/3 稳定检出数据竞争，原子固定对照 3/3 干净。
方法控制不证明抽样组件存在竞态。</x:v>
      </x:c>
      <x:c r="G142" s="195" t="str">
        <x:v>not_testable</x:v>
      </x:c>
      <x:c r="H14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2" s="191" t="str">
        <x:f>IFERROR(HYPERLINK("file:///D:/openHarmonyScanner/outputs/01a14d00-bc78-7ac2-9520-210d4b92b1ac/poc/index.json","无专用 PoC"),"无专用 PoC")</x:f>
        <x:v>无专用 PoC</x:v>
      </x:c>
    </x:row>
    <x:row r="143" ht="58" customHeight="1">
      <x:c r="A143" s="175" t="str">
        <x:v>hiviewdfx_faultloggerd
openharmony/hiviewdfx_faultloggerd
CR-0138</x:v>
      </x:c>
      <x:c r="B143" s="176" t="str">
        <x:v>ohscanner.cpp.shared_ptr_race</x:v>
      </x:c>
      <x:c r="C143" s="196" t="str">
        <x:v>高优先级</x:v>
      </x:c>
      <x:c r="D143" s="176" t="str">
        <x:v>ohcpp-shared-ptr-race-candidate-001 / CWE-362</x:v>
      </x:c>
      <x:c r="E143" s="176" t="str">
        <x:v>interfaces/innerkits/unwinder/include/dwarf_op.h:362
符号：memory_</x:v>
      </x:c>
      <x:c r="F143" s="176" t="str">
        <x:v>未运行目标派生 harness；Docker 内通用 TSan 正控 3/3 稳定检出数据竞争，原子固定对照 3/3 干净。
方法控制不证明抽样组件存在竞态。</x:v>
      </x:c>
      <x:c r="G143" s="195" t="str">
        <x:v>not_testable</x:v>
      </x:c>
      <x:c r="H14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3" s="191" t="str">
        <x:f>IFERROR(HYPERLINK("file:///D:/openHarmonyScanner/outputs/01a14d00-bc78-7ac2-9520-210d4b92b1ac/poc/index.json","无专用 PoC"),"无专用 PoC")</x:f>
        <x:v>无专用 PoC</x:v>
      </x:c>
    </x:row>
    <x:row r="144" ht="58" customHeight="1">
      <x:c r="A144" s="175" t="str">
        <x:v>hiviewdfx_faultloggerd
openharmony/hiviewdfx_faultloggerd
CR-0139</x:v>
      </x:c>
      <x:c r="B144" s="176" t="str">
        <x:v>ohscanner.cpp.shared_ptr_race</x:v>
      </x:c>
      <x:c r="C144" s="196" t="str">
        <x:v>高优先级</x:v>
      </x:c>
      <x:c r="D144" s="176" t="str">
        <x:v>ohcpp-shared-ptr-race-candidate-001 / CWE-362</x:v>
      </x:c>
      <x:c r="E144" s="176" t="str">
        <x:v>interfaces/innerkits/unwinder/include/dwarf_op.h:443
符号：memory_</x:v>
      </x:c>
      <x:c r="F144" s="176" t="str">
        <x:v>未运行目标派生 harness；Docker 内通用 TSan 正控 3/3 稳定检出数据竞争，原子固定对照 3/3 干净。
方法控制不证明抽样组件存在竞态。</x:v>
      </x:c>
      <x:c r="G144" s="195" t="str">
        <x:v>not_testable</x:v>
      </x:c>
      <x:c r="H14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4" s="191" t="str">
        <x:f>IFERROR(HYPERLINK("file:///D:/openHarmonyScanner/outputs/01a14d00-bc78-7ac2-9520-210d4b92b1ac/poc/index.json","无专用 PoC"),"无专用 PoC")</x:f>
        <x:v>无专用 PoC</x:v>
      </x:c>
    </x:row>
    <x:row r="145" ht="58" customHeight="1">
      <x:c r="A145" s="175" t="str">
        <x:v>hiviewdfx_faultloggerd
openharmony/hiviewdfx_faultloggerd
CR-0140</x:v>
      </x:c>
      <x:c r="B145" s="176" t="str">
        <x:v>ohscanner.cpp.shared_ptr_race</x:v>
      </x:c>
      <x:c r="C145" s="196" t="str">
        <x:v>高优先级</x:v>
      </x:c>
      <x:c r="D145" s="176" t="str">
        <x:v>ohcpp-shared-ptr-race-candidate-001 / CWE-362</x:v>
      </x:c>
      <x:c r="E145" s="176" t="str">
        <x:v>interfaces/innerkits/unwinder/include/dwarf_op.h:460
符号：memory_</x:v>
      </x:c>
      <x:c r="F145" s="176" t="str">
        <x:v>未运行目标派生 harness；Docker 内通用 TSan 正控 3/3 稳定检出数据竞争，原子固定对照 3/3 干净。
方法控制不证明抽样组件存在竞态。</x:v>
      </x:c>
      <x:c r="G145" s="195" t="str">
        <x:v>not_testable</x:v>
      </x:c>
      <x:c r="H14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5" s="191" t="str">
        <x:f>IFERROR(HYPERLINK("file:///D:/openHarmonyScanner/outputs/01a14d00-bc78-7ac2-9520-210d4b92b1ac/poc/index.json","无专用 PoC"),"无专用 PoC")</x:f>
        <x:v>无专用 PoC</x:v>
      </x:c>
    </x:row>
    <x:row r="146" ht="58" customHeight="1">
      <x:c r="A146" s="175" t="str">
        <x:v>hiviewdfx_faultloggerd
openharmony/hiviewdfx_faultloggerd
CR-0141</x:v>
      </x:c>
      <x:c r="B146" s="176" t="str">
        <x:v>ohscanner.cpp.shared_ptr_race</x:v>
      </x:c>
      <x:c r="C146" s="196" t="str">
        <x:v>高优先级</x:v>
      </x:c>
      <x:c r="D146" s="176" t="str">
        <x:v>ohcpp-shared-ptr-race-candidate-001 / CWE-362</x:v>
      </x:c>
      <x:c r="E146" s="176" t="str">
        <x:v>interfaces/innerkits/unwinder/include/dwarf_op.h:467
符号：memory_</x:v>
      </x:c>
      <x:c r="F146" s="176" t="str">
        <x:v>未运行目标派生 harness；Docker 内通用 TSan 正控 3/3 稳定检出数据竞争，原子固定对照 3/3 干净。
方法控制不证明抽样组件存在竞态。</x:v>
      </x:c>
      <x:c r="G146" s="195" t="str">
        <x:v>not_testable</x:v>
      </x:c>
      <x:c r="H14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6" s="191" t="str">
        <x:f>IFERROR(HYPERLINK("file:///D:/openHarmonyScanner/outputs/01a14d00-bc78-7ac2-9520-210d4b92b1ac/poc/index.json","无专用 PoC"),"无专用 PoC")</x:f>
        <x:v>无专用 PoC</x:v>
      </x:c>
    </x:row>
    <x:row r="147" ht="58" customHeight="1">
      <x:c r="A147" s="175" t="str">
        <x:v>hiviewdfx_faultloggerd
openharmony/hiviewdfx_faultloggerd
CR-0142</x:v>
      </x:c>
      <x:c r="B147" s="176" t="str">
        <x:v>ohscanner.cpp.shared_ptr_race</x:v>
      </x:c>
      <x:c r="C147" s="196" t="str">
        <x:v>高优先级</x:v>
      </x:c>
      <x:c r="D147" s="176" t="str">
        <x:v>ohcpp-shared-ptr-race-candidate-001 / CWE-362</x:v>
      </x:c>
      <x:c r="E147" s="176" t="str">
        <x:v>interfaces/innerkits/unwinder/include/dwarf_op.h:473
符号：memory_</x:v>
      </x:c>
      <x:c r="F147" s="176" t="str">
        <x:v>未运行目标派生 harness；Docker 内通用 TSan 正控 3/3 稳定检出数据竞争，原子固定对照 3/3 干净。
方法控制不证明抽样组件存在竞态。</x:v>
      </x:c>
      <x:c r="G147" s="195" t="str">
        <x:v>not_testable</x:v>
      </x:c>
      <x:c r="H14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7" s="191" t="str">
        <x:f>IFERROR(HYPERLINK("file:///D:/openHarmonyScanner/outputs/01a14d00-bc78-7ac2-9520-210d4b92b1ac/poc/index.json","无专用 PoC"),"无专用 PoC")</x:f>
        <x:v>无专用 PoC</x:v>
      </x:c>
    </x:row>
    <x:row r="148" ht="58" customHeight="1">
      <x:c r="A148" s="175" t="str">
        <x:v>hiviewdfx_faultloggerd
openharmony/hiviewdfx_faultloggerd
CR-0143</x:v>
      </x:c>
      <x:c r="B148" s="176" t="str">
        <x:v>ohscanner.cpp.shared_ptr_race</x:v>
      </x:c>
      <x:c r="C148" s="196" t="str">
        <x:v>高优先级</x:v>
      </x:c>
      <x:c r="D148" s="176" t="str">
        <x:v>ohcpp-shared-ptr-race-candidate-001 / CWE-362</x:v>
      </x:c>
      <x:c r="E148" s="176" t="str">
        <x:v>interfaces/innerkits/unwinder/include/thread_context.h:105
符号：maps_</x:v>
      </x:c>
      <x:c r="F148" s="176" t="str">
        <x:v>未运行目标派生 harness；Docker 内通用 TSan 正控 3/3 稳定检出数据竞争，原子固定对照 3/3 干净。
方法控制不证明抽样组件存在竞态。</x:v>
      </x:c>
      <x:c r="G148" s="195" t="str">
        <x:v>not_testable</x:v>
      </x:c>
      <x:c r="H14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8" s="191" t="str">
        <x:f>IFERROR(HYPERLINK("file:///D:/openHarmonyScanner/outputs/01a14d00-bc78-7ac2-9520-210d4b92b1ac/poc/index.json","无专用 PoC"),"无专用 PoC")</x:f>
        <x:v>无专用 PoC</x:v>
      </x:c>
    </x:row>
    <x:row r="149" ht="58" customHeight="1">
      <x:c r="A149" s="175" t="str">
        <x:v>hiviewdfx_faultloggerd
openharmony/hiviewdfx_faultloggerd
CR-0144</x:v>
      </x:c>
      <x:c r="B149" s="176" t="str">
        <x:v>ohscanner.cpp.shared_ptr_race</x:v>
      </x:c>
      <x:c r="C149" s="196" t="str">
        <x:v>高优先级</x:v>
      </x:c>
      <x:c r="D149" s="176" t="str">
        <x:v>ohcpp-shared-ptr-race-candidate-001 / CWE-362</x:v>
      </x:c>
      <x:c r="E149" s="176" t="str">
        <x:v>interfaces/innerkits/unwinder/include/unwind_entry_parser.h:29
符号：memory_</x:v>
      </x:c>
      <x:c r="F149" s="176" t="str">
        <x:v>未运行目标派生 harness；Docker 内通用 TSan 正控 3/3 稳定检出数据竞争，原子固定对照 3/3 干净。
方法控制不证明抽样组件存在竞态。</x:v>
      </x:c>
      <x:c r="G149" s="195" t="str">
        <x:v>not_testable</x:v>
      </x:c>
      <x:c r="H14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49" s="191" t="str">
        <x:f>IFERROR(HYPERLINK("file:///D:/openHarmonyScanner/outputs/01a14d00-bc78-7ac2-9520-210d4b92b1ac/poc/index.json","无专用 PoC"),"无专用 PoC")</x:f>
        <x:v>无专用 PoC</x:v>
      </x:c>
    </x:row>
    <x:row r="150" ht="58" customHeight="1">
      <x:c r="A150" s="175" t="str">
        <x:v>hiviewdfx_faultloggerd
openharmony/hiviewdfx_faultloggerd
CR-0145</x:v>
      </x:c>
      <x:c r="B150" s="176" t="str">
        <x:v>ohscanner.cpp.shared_ptr_race</x:v>
      </x:c>
      <x:c r="C150" s="196" t="str">
        <x:v>高优先级</x:v>
      </x:c>
      <x:c r="D150" s="176" t="str">
        <x:v>ohcpp-shared-ptr-race-candidate-001 / CWE-362</x:v>
      </x:c>
      <x:c r="E150" s="176" t="str">
        <x:v>interfaces/innerkits/unwinder_refactor/include/unwinder_base.h:82
符号：state_</x:v>
      </x:c>
      <x:c r="F150" s="176" t="str">
        <x:v>未运行目标派生 harness；Docker 内通用 TSan 正控 3/3 稳定检出数据竞争，原子固定对照 3/3 干净。
方法控制不证明抽样组件存在竞态。</x:v>
      </x:c>
      <x:c r="G150" s="195" t="str">
        <x:v>not_testable</x:v>
      </x:c>
      <x:c r="H15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0" s="191" t="str">
        <x:f>IFERROR(HYPERLINK("file:///D:/openHarmonyScanner/outputs/01a14d00-bc78-7ac2-9520-210d4b92b1ac/poc/index.json","无专用 PoC"),"无专用 PoC")</x:f>
        <x:v>无专用 PoC</x:v>
      </x:c>
    </x:row>
    <x:row r="151" ht="58" customHeight="1">
      <x:c r="A151" s="175" t="str">
        <x:v>hiviewdfx_faultloggerd
openharmony/hiviewdfx_faultloggerd
CR-0146</x:v>
      </x:c>
      <x:c r="B151" s="176" t="str">
        <x:v>ohscanner.cpp.shared_ptr_race</x:v>
      </x:c>
      <x:c r="C151" s="196" t="str">
        <x:v>高优先级</x:v>
      </x:c>
      <x:c r="D151" s="176" t="str">
        <x:v>ohcpp-shared-ptr-race-candidate-001 / CWE-362</x:v>
      </x:c>
      <x:c r="E151" s="176" t="str">
        <x:v>interfaces/innerkits/unwinder_refactor/include/unwinder_base.h:83
符号：state_</x:v>
      </x:c>
      <x:c r="F151" s="176" t="str">
        <x:v>未运行目标派生 harness；Docker 内通用 TSan 正控 3/3 稳定检出数据竞争，原子固定对照 3/3 干净。
方法控制不证明抽样组件存在竞态。</x:v>
      </x:c>
      <x:c r="G151" s="195" t="str">
        <x:v>not_testable</x:v>
      </x:c>
      <x:c r="H15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1" s="191" t="str">
        <x:f>IFERROR(HYPERLINK("file:///D:/openHarmonyScanner/outputs/01a14d00-bc78-7ac2-9520-210d4b92b1ac/poc/index.json","无专用 PoC"),"无专用 PoC")</x:f>
        <x:v>无专用 PoC</x:v>
      </x:c>
    </x:row>
    <x:row r="152" ht="58" customHeight="1">
      <x:c r="A152" s="175" t="str">
        <x:v>hiviewdfx_faultloggerd
openharmony/hiviewdfx_faultloggerd
CR-0147</x:v>
      </x:c>
      <x:c r="B152" s="176" t="str">
        <x:v>ohscanner.cpp.shared_ptr_race</x:v>
      </x:c>
      <x:c r="C152" s="196" t="str">
        <x:v>高优先级</x:v>
      </x:c>
      <x:c r="D152" s="176" t="str">
        <x:v>ohcpp-shared-ptr-race-candidate-001 / CWE-362</x:v>
      </x:c>
      <x:c r="E152" s="176" t="str">
        <x:v>interfaces/innerkits/unwinder_refactor/include/unwinder_base.h:91
符号：state_</x:v>
      </x:c>
      <x:c r="F152" s="176" t="str">
        <x:v>未运行目标派生 harness；Docker 内通用 TSan 正控 3/3 稳定检出数据竞争，原子固定对照 3/3 干净。
方法控制不证明抽样组件存在竞态。</x:v>
      </x:c>
      <x:c r="G152" s="195" t="str">
        <x:v>not_testable</x:v>
      </x:c>
      <x:c r="H15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2" s="191" t="str">
        <x:f>IFERROR(HYPERLINK("file:///D:/openHarmonyScanner/outputs/01a14d00-bc78-7ac2-9520-210d4b92b1ac/poc/index.json","无专用 PoC"),"无专用 PoC")</x:f>
        <x:v>无专用 PoC</x:v>
      </x:c>
    </x:row>
    <x:row r="153" ht="58" customHeight="1">
      <x:c r="A153" s="175" t="str">
        <x:v>hiviewdfx_faultloggerd
openharmony/hiviewdfx_faultloggerd
CR-0148</x:v>
      </x:c>
      <x:c r="B153" s="176" t="str">
        <x:v>ohscanner.cpp.shared_ptr_race</x:v>
      </x:c>
      <x:c r="C153" s="196" t="str">
        <x:v>高优先级</x:v>
      </x:c>
      <x:c r="D153" s="176" t="str">
        <x:v>ohcpp-shared-ptr-race-candidate-001 / CWE-362</x:v>
      </x:c>
      <x:c r="E153" s="176" t="str">
        <x:v>interfaces/innerkits/unwinder_refactor/include/unwinder_base.h:96
符号：state_</x:v>
      </x:c>
      <x:c r="F153" s="176" t="str">
        <x:v>未运行目标派生 harness；Docker 内通用 TSan 正控 3/3 稳定检出数据竞争，原子固定对照 3/3 干净。
方法控制不证明抽样组件存在竞态。</x:v>
      </x:c>
      <x:c r="G153" s="195" t="str">
        <x:v>not_testable</x:v>
      </x:c>
      <x:c r="H15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3" s="191" t="str">
        <x:f>IFERROR(HYPERLINK("file:///D:/openHarmonyScanner/outputs/01a14d00-bc78-7ac2-9520-210d4b92b1ac/poc/index.json","无专用 PoC"),"无专用 PoC")</x:f>
        <x:v>无专用 PoC</x:v>
      </x:c>
    </x:row>
    <x:row r="154" ht="58" customHeight="1">
      <x:c r="A154" s="175" t="str">
        <x:v>hiviewdfx_faultloggerd
openharmony/hiviewdfx_faultloggerd
CR-0149</x:v>
      </x:c>
      <x:c r="B154" s="176" t="str">
        <x:v>ohscanner.cpp.shared_ptr_race</x:v>
      </x:c>
      <x:c r="C154" s="196" t="str">
        <x:v>高优先级</x:v>
      </x:c>
      <x:c r="D154" s="176" t="str">
        <x:v>ohcpp-shared-ptr-race-candidate-001 / CWE-362</x:v>
      </x:c>
      <x:c r="E154" s="176" t="str">
        <x:v>interfaces/innerkits/unwinder_refactor/include/unwinder_base.h:101
符号：state_</x:v>
      </x:c>
      <x:c r="F154" s="176" t="str">
        <x:v>未运行目标派生 harness；Docker 内通用 TSan 正控 3/3 稳定检出数据竞争，原子固定对照 3/3 干净。
方法控制不证明抽样组件存在竞态。</x:v>
      </x:c>
      <x:c r="G154" s="195" t="str">
        <x:v>not_testable</x:v>
      </x:c>
      <x:c r="H15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4" s="191" t="str">
        <x:f>IFERROR(HYPERLINK("file:///D:/openHarmonyScanner/outputs/01a14d00-bc78-7ac2-9520-210d4b92b1ac/poc/index.json","无专用 PoC"),"无专用 PoC")</x:f>
        <x:v>无专用 PoC</x:v>
      </x:c>
    </x:row>
    <x:row r="155" ht="58" customHeight="1">
      <x:c r="A155" s="175" t="str">
        <x:v>hiviewdfx_faultloggerd
openharmony/hiviewdfx_faultloggerd
CR-0150</x:v>
      </x:c>
      <x:c r="B155" s="176" t="str">
        <x:v>ohscanner.cpp.shared_ptr_race</x:v>
      </x:c>
      <x:c r="C155" s="196" t="str">
        <x:v>高优先级</x:v>
      </x:c>
      <x:c r="D155" s="176" t="str">
        <x:v>ohcpp-shared-ptr-race-candidate-001 / CWE-362</x:v>
      </x:c>
      <x:c r="E155" s="176" t="str">
        <x:v>interfaces/innerkits/unwinder_refactor/include/unwinder_base.h:106
符号：state_</x:v>
      </x:c>
      <x:c r="F155" s="176" t="str">
        <x:v>未运行目标派生 harness；Docker 内通用 TSan 正控 3/3 稳定检出数据竞争，原子固定对照 3/3 干净。
方法控制不证明抽样组件存在竞态。</x:v>
      </x:c>
      <x:c r="G155" s="195" t="str">
        <x:v>not_testable</x:v>
      </x:c>
      <x:c r="H15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5" s="191" t="str">
        <x:f>IFERROR(HYPERLINK("file:///D:/openHarmonyScanner/outputs/01a14d00-bc78-7ac2-9520-210d4b92b1ac/poc/index.json","无专用 PoC"),"无专用 PoC")</x:f>
        <x:v>无专用 PoC</x:v>
      </x:c>
    </x:row>
    <x:row r="156" ht="58" customHeight="1">
      <x:c r="A156" s="175" t="str">
        <x:v>hiviewdfx_faultloggerd
openharmony/hiviewdfx_faultloggerd
CR-0151</x:v>
      </x:c>
      <x:c r="B156" s="176" t="str">
        <x:v>ohscanner.cpp.shared_ptr_race</x:v>
      </x:c>
      <x:c r="C156" s="196" t="str">
        <x:v>高优先级</x:v>
      </x:c>
      <x:c r="D156" s="176" t="str">
        <x:v>ohcpp-shared-ptr-race-candidate-001 / CWE-362</x:v>
      </x:c>
      <x:c r="E156" s="176" t="str">
        <x:v>interfaces/innerkits/unwinder_refactor/include/unwinder_base.h:111
符号：state_</x:v>
      </x:c>
      <x:c r="F156" s="176" t="str">
        <x:v>未运行目标派生 harness；Docker 内通用 TSan 正控 3/3 稳定检出数据竞争，原子固定对照 3/3 干净。
方法控制不证明抽样组件存在竞态。</x:v>
      </x:c>
      <x:c r="G156" s="195" t="str">
        <x:v>not_testable</x:v>
      </x:c>
      <x:c r="H15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6" s="191" t="str">
        <x:f>IFERROR(HYPERLINK("file:///D:/openHarmonyScanner/outputs/01a14d00-bc78-7ac2-9520-210d4b92b1ac/poc/index.json","无专用 PoC"),"无专用 PoC")</x:f>
        <x:v>无专用 PoC</x:v>
      </x:c>
    </x:row>
    <x:row r="157" ht="58" customHeight="1">
      <x:c r="A157" s="175" t="str">
        <x:v>hiviewdfx_faultloggerd
openharmony/hiviewdfx_faultloggerd
CR-0152</x:v>
      </x:c>
      <x:c r="B157" s="176" t="str">
        <x:v>ohscanner.cpp.shared_ptr_race</x:v>
      </x:c>
      <x:c r="C157" s="196" t="str">
        <x:v>高优先级</x:v>
      </x:c>
      <x:c r="D157" s="176" t="str">
        <x:v>ohcpp-shared-ptr-race-candidate-001 / CWE-362</x:v>
      </x:c>
      <x:c r="E157" s="176" t="str">
        <x:v>interfaces/innerkits/unwinder_refactor/include/unwinder_base.h:208
符号：state_</x:v>
      </x:c>
      <x:c r="F157" s="176" t="str">
        <x:v>未运行目标派生 harness；Docker 内通用 TSan 正控 3/3 稳定检出数据竞争，原子固定对照 3/3 干净。
方法控制不证明抽样组件存在竞态。</x:v>
      </x:c>
      <x:c r="G157" s="195" t="str">
        <x:v>not_testable</x:v>
      </x:c>
      <x:c r="H15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7" s="191" t="str">
        <x:f>IFERROR(HYPERLINK("file:///D:/openHarmonyScanner/outputs/01a14d00-bc78-7ac2-9520-210d4b92b1ac/poc/index.json","无专用 PoC"),"无专用 PoC")</x:f>
        <x:v>无专用 PoC</x:v>
      </x:c>
    </x:row>
    <x:row r="158" ht="58" customHeight="1">
      <x:c r="A158" s="175" t="str">
        <x:v>hiviewdfx_faultloggerd
openharmony/hiviewdfx_faultloggerd
CR-0153</x:v>
      </x:c>
      <x:c r="B158" s="176" t="str">
        <x:v>ohscanner.cpp.shared_ptr_race</x:v>
      </x:c>
      <x:c r="C158" s="196" t="str">
        <x:v>高优先级</x:v>
      </x:c>
      <x:c r="D158" s="176" t="str">
        <x:v>ohcpp-shared-ptr-race-candidate-001 / CWE-362</x:v>
      </x:c>
      <x:c r="E158" s="176" t="str">
        <x:v>interfaces/innerkits/unwinder_refactor/include/unwinder_base.h:248
符号：state_</x:v>
      </x:c>
      <x:c r="F158" s="176" t="str">
        <x:v>未运行目标派生 harness；Docker 内通用 TSan 正控 3/3 稳定检出数据竞争，原子固定对照 3/3 干净。
方法控制不证明抽样组件存在竞态。</x:v>
      </x:c>
      <x:c r="G158" s="195" t="str">
        <x:v>not_testable</x:v>
      </x:c>
      <x:c r="H15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8" s="191" t="str">
        <x:f>IFERROR(HYPERLINK("file:///D:/openHarmonyScanner/outputs/01a14d00-bc78-7ac2-9520-210d4b92b1ac/poc/index.json","无专用 PoC"),"无专用 PoC")</x:f>
        <x:v>无专用 PoC</x:v>
      </x:c>
    </x:row>
    <x:row r="159" ht="58" customHeight="1">
      <x:c r="A159" s="175" t="str">
        <x:v>hiviewdfx_faultloggerd
openharmony/hiviewdfx_faultloggerd
CR-0154</x:v>
      </x:c>
      <x:c r="B159" s="176" t="str">
        <x:v>ohscanner.cpp.shared_ptr_race</x:v>
      </x:c>
      <x:c r="C159" s="196" t="str">
        <x:v>高优先级</x:v>
      </x:c>
      <x:c r="D159" s="176" t="str">
        <x:v>ohcpp-shared-ptr-race-candidate-001 / CWE-362</x:v>
      </x:c>
      <x:c r="E159" s="176" t="str">
        <x:v>interfaces/innerkits/unwinder_refactor/include/unwinder_base.h:249
符号：state_</x:v>
      </x:c>
      <x:c r="F159" s="176" t="str">
        <x:v>未运行目标派生 harness；Docker 内通用 TSan 正控 3/3 稳定检出数据竞争，原子固定对照 3/3 干净。
方法控制不证明抽样组件存在竞态。</x:v>
      </x:c>
      <x:c r="G159" s="195" t="str">
        <x:v>not_testable</x:v>
      </x:c>
      <x:c r="H15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59" s="191" t="str">
        <x:f>IFERROR(HYPERLINK("file:///D:/openHarmonyScanner/outputs/01a14d00-bc78-7ac2-9520-210d4b92b1ac/poc/index.json","无专用 PoC"),"无专用 PoC")</x:f>
        <x:v>无专用 PoC</x:v>
      </x:c>
    </x:row>
    <x:row r="160" ht="58" customHeight="1">
      <x:c r="A160" s="175" t="str">
        <x:v>hiviewdfx_faultloggerd
openharmony/hiviewdfx_faultloggerd
CR-0155</x:v>
      </x:c>
      <x:c r="B160" s="176" t="str">
        <x:v>ohscanner.cpp.shared_ptr_race</x:v>
      </x:c>
      <x:c r="C160" s="196" t="str">
        <x:v>高优先级</x:v>
      </x:c>
      <x:c r="D160" s="176" t="str">
        <x:v>ohcpp-shared-ptr-race-candidate-001 / CWE-362</x:v>
      </x:c>
      <x:c r="E160" s="176" t="str">
        <x:v>interfaces/innerkits/unwinder_refactor/include/unwinder_base.h:250
符号：state_</x:v>
      </x:c>
      <x:c r="F160" s="176" t="str">
        <x:v>未运行目标派生 harness；Docker 内通用 TSan 正控 3/3 稳定检出数据竞争，原子固定对照 3/3 干净。
方法控制不证明抽样组件存在竞态。</x:v>
      </x:c>
      <x:c r="G160" s="195" t="str">
        <x:v>not_testable</x:v>
      </x:c>
      <x:c r="H16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0" s="191" t="str">
        <x:f>IFERROR(HYPERLINK("file:///D:/openHarmonyScanner/outputs/01a14d00-bc78-7ac2-9520-210d4b92b1ac/poc/index.json","无专用 PoC"),"无专用 PoC")</x:f>
        <x:v>无专用 PoC</x:v>
      </x:c>
    </x:row>
    <x:row r="161" ht="58" customHeight="1">
      <x:c r="A161" s="175" t="str">
        <x:v>hiviewdfx_faultloggerd
openharmony/hiviewdfx_faultloggerd
CR-0156</x:v>
      </x:c>
      <x:c r="B161" s="176" t="str">
        <x:v>ohscanner.cpp.shared_ptr_race</x:v>
      </x:c>
      <x:c r="C161" s="196" t="str">
        <x:v>高优先级</x:v>
      </x:c>
      <x:c r="D161" s="176" t="str">
        <x:v>ohcpp-shared-ptr-race-candidate-001 / CWE-362</x:v>
      </x:c>
      <x:c r="E161" s="176" t="str">
        <x:v>interfaces/innerkits/unwinder_refactor/include/unwinder_base.h:251
符号：state_</x:v>
      </x:c>
      <x:c r="F161" s="176" t="str">
        <x:v>未运行目标派生 harness；Docker 内通用 TSan 正控 3/3 稳定检出数据竞争，原子固定对照 3/3 干净。
方法控制不证明抽样组件存在竞态。</x:v>
      </x:c>
      <x:c r="G161" s="195" t="str">
        <x:v>not_testable</x:v>
      </x:c>
      <x:c r="H16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1" s="191" t="str">
        <x:f>IFERROR(HYPERLINK("file:///D:/openHarmonyScanner/outputs/01a14d00-bc78-7ac2-9520-210d4b92b1ac/poc/index.json","无专用 PoC"),"无专用 PoC")</x:f>
        <x:v>无专用 PoC</x:v>
      </x:c>
    </x:row>
    <x:row r="162" ht="58" customHeight="1">
      <x:c r="A162" s="175" t="str">
        <x:v>hiviewdfx_faultloggerd
openharmony/hiviewdfx_faultloggerd
CR-0157</x:v>
      </x:c>
      <x:c r="B162" s="176" t="str">
        <x:v>ohscanner.cpp.shared_ptr_race</x:v>
      </x:c>
      <x:c r="C162" s="196" t="str">
        <x:v>高优先级</x:v>
      </x:c>
      <x:c r="D162" s="176" t="str">
        <x:v>ohcpp-shared-ptr-race-candidate-001 / CWE-362</x:v>
      </x:c>
      <x:c r="E162" s="176" t="str">
        <x:v>tools/process_dump/coredump/coredump_note_segment_writer.h:103
符号：keyRegs_</x:v>
      </x:c>
      <x:c r="F162" s="176" t="str">
        <x:v>未运行目标派生 harness；Docker 内通用 TSan 正控 3/3 稳定检出数据竞争，原子固定对照 3/3 干净。
方法控制不证明抽样组件存在竞态。</x:v>
      </x:c>
      <x:c r="G162" s="195" t="str">
        <x:v>not_testable</x:v>
      </x:c>
      <x:c r="H16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2" s="191" t="str">
        <x:f>IFERROR(HYPERLINK("file:///D:/openHarmonyScanner/outputs/01a14d00-bc78-7ac2-9520-210d4b92b1ac/poc/index.json","无专用 PoC"),"无专用 PoC")</x:f>
        <x:v>无专用 PoC</x:v>
      </x:c>
    </x:row>
    <x:row r="163" ht="58" customHeight="1">
      <x:c r="A163" s="175" t="str">
        <x:v>hiviewdfx_faultloggerd
openharmony/hiviewdfx_faultloggerd
CR-0158</x:v>
      </x:c>
      <x:c r="B163" s="176" t="str">
        <x:v>ohscanner.cpp.shared_ptr_race</x:v>
      </x:c>
      <x:c r="C163" s="196" t="str">
        <x:v>高优先级</x:v>
      </x:c>
      <x:c r="D163" s="176" t="str">
        <x:v>ohcpp-shared-ptr-race-candidate-001 / CWE-362</x:v>
      </x:c>
      <x:c r="E163" s="176" t="str">
        <x:v>tools/process_dump/dfx_process.h:55
符号：keyThread_</x:v>
      </x:c>
      <x:c r="F163" s="176" t="str">
        <x:v>未运行目标派生 harness；Docker 内通用 TSan 正控 3/3 稳定检出数据竞争，原子固定对照 3/3 干净。
方法控制不证明抽样组件存在竞态。</x:v>
      </x:c>
      <x:c r="G163" s="195" t="str">
        <x:v>not_testable</x:v>
      </x:c>
      <x:c r="H16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3" s="191" t="str">
        <x:f>IFERROR(HYPERLINK("file:///D:/openHarmonyScanner/outputs/01a14d00-bc78-7ac2-9520-210d4b92b1ac/poc/index.json","无专用 PoC"),"无专用 PoC")</x:f>
        <x:v>无专用 PoC</x:v>
      </x:c>
    </x:row>
    <x:row r="164" ht="58" customHeight="1">
      <x:c r="A164" s="175" t="str">
        <x:v>hiviewdfx_faultloggerd
openharmony/hiviewdfx_faultloggerd
CR-0159</x:v>
      </x:c>
      <x:c r="B164" s="176" t="str">
        <x:v>ohscanner.cpp.shared_ptr_race</x:v>
      </x:c>
      <x:c r="C164" s="196" t="str">
        <x:v>高优先级</x:v>
      </x:c>
      <x:c r="D164" s="176" t="str">
        <x:v>ohcpp-shared-ptr-race-candidate-001 / CWE-362</x:v>
      </x:c>
      <x:c r="E164" s="176" t="str">
        <x:v>tools/process_dump/dfx_process.h:60
符号：keyThread_</x:v>
      </x:c>
      <x:c r="F164" s="176" t="str">
        <x:v>未运行目标派生 harness；Docker 内通用 TSan 正控 3/3 稳定检出数据竞争，原子固定对照 3/3 干净。
方法控制不证明抽样组件存在竞态。</x:v>
      </x:c>
      <x:c r="G164" s="195" t="str">
        <x:v>not_testable</x:v>
      </x:c>
      <x:c r="H16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4" s="191" t="str">
        <x:f>IFERROR(HYPERLINK("file:///D:/openHarmonyScanner/outputs/01a14d00-bc78-7ac2-9520-210d4b92b1ac/poc/index.json","无专用 PoC"),"无专用 PoC")</x:f>
        <x:v>无专用 PoC</x:v>
      </x:c>
    </x:row>
    <x:row r="165" ht="58" customHeight="1">
      <x:c r="A165" s="175" t="str">
        <x:v>hiviewdfx_faultloggerd
openharmony/hiviewdfx_faultloggerd
CR-0160</x:v>
      </x:c>
      <x:c r="B165" s="176" t="str">
        <x:v>ohscanner.cpp.shared_ptr_race</x:v>
      </x:c>
      <x:c r="C165" s="196" t="str">
        <x:v>高优先级</x:v>
      </x:c>
      <x:c r="D165" s="176" t="str">
        <x:v>ohcpp-shared-ptr-race-candidate-001 / CWE-362</x:v>
      </x:c>
      <x:c r="E165" s="176" t="str">
        <x:v>tools/process_dump/dfx_process.h:69
符号：regs_</x:v>
      </x:c>
      <x:c r="F165" s="176" t="str">
        <x:v>未运行目标派生 harness；Docker 内通用 TSan 正控 3/3 稳定检出数据竞争，原子固定对照 3/3 干净。
方法控制不证明抽样组件存在竞态。</x:v>
      </x:c>
      <x:c r="G165" s="195" t="str">
        <x:v>not_testable</x:v>
      </x:c>
      <x:c r="H16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5" s="191" t="str">
        <x:f>IFERROR(HYPERLINK("file:///D:/openHarmonyScanner/outputs/01a14d00-bc78-7ac2-9520-210d4b92b1ac/poc/index.json","无专用 PoC"),"无专用 PoC")</x:f>
        <x:v>无专用 PoC</x:v>
      </x:c>
    </x:row>
    <x:row r="166" ht="58" customHeight="1">
      <x:c r="A166" s="175" t="str">
        <x:v>hiviewdfx_faultloggerd
openharmony/hiviewdfx_faultloggerd
CR-0161</x:v>
      </x:c>
      <x:c r="B166" s="176" t="str">
        <x:v>ohscanner.cpp.shared_ptr_race</x:v>
      </x:c>
      <x:c r="C166" s="196" t="str">
        <x:v>高优先级</x:v>
      </x:c>
      <x:c r="D166" s="176" t="str">
        <x:v>ohcpp-shared-ptr-race-candidate-001 / CWE-362</x:v>
      </x:c>
      <x:c r="E166" s="176" t="str">
        <x:v>tools/process_dump/dfx_process.h:74
符号：regs_</x:v>
      </x:c>
      <x:c r="F166" s="176" t="str">
        <x:v>未运行目标派生 harness；Docker 内通用 TSan 正控 3/3 稳定检出数据竞争，原子固定对照 3/3 干净。
方法控制不证明抽样组件存在竞态。</x:v>
      </x:c>
      <x:c r="G166" s="195" t="str">
        <x:v>not_testable</x:v>
      </x:c>
      <x:c r="H16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6" s="191" t="str">
        <x:f>IFERROR(HYPERLINK("file:///D:/openHarmonyScanner/outputs/01a14d00-bc78-7ac2-9520-210d4b92b1ac/poc/index.json","无专用 PoC"),"无专用 PoC")</x:f>
        <x:v>无专用 PoC</x:v>
      </x:c>
    </x:row>
    <x:row r="167" ht="58" customHeight="1">
      <x:c r="A167" s="175" t="str">
        <x:v>hiviewdfx_faultloggerd
openharmony/hiviewdfx_faultloggerd
CR-0162</x:v>
      </x:c>
      <x:c r="B167" s="176" t="str">
        <x:v>ohscanner.cpp.shared_ptr_race</x:v>
      </x:c>
      <x:c r="C167" s="196" t="str">
        <x:v>高优先级</x:v>
      </x:c>
      <x:c r="D167" s="176" t="str">
        <x:v>ohcpp-shared-ptr-race-candidate-001 / CWE-362</x:v>
      </x:c>
      <x:c r="E167" s="176" t="str">
        <x:v>tools/process_dump/dfx_thread.h:64
符号：stackBuf_</x:v>
      </x:c>
      <x:c r="F167" s="176" t="str">
        <x:v>未运行目标派生 harness；Docker 内通用 TSan 正控 3/3 稳定检出数据竞争，原子固定对照 3/3 干净。
方法控制不证明抽样组件存在竞态。</x:v>
      </x:c>
      <x:c r="G167" s="195" t="str">
        <x:v>not_testable</x:v>
      </x:c>
      <x:c r="H16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7" s="191" t="str">
        <x:f>IFERROR(HYPERLINK("file:///D:/openHarmonyScanner/outputs/01a14d00-bc78-7ac2-9520-210d4b92b1ac/poc/index.json","无专用 PoC"),"无专用 PoC")</x:f>
        <x:v>无专用 PoC</x:v>
      </x:c>
    </x:row>
    <x:row r="168" ht="58" customHeight="1">
      <x:c r="A168" s="175" t="str">
        <x:v>hiviewdfx_faultloggerd
openharmony/hiviewdfx_faultloggerd
CR-0163</x:v>
      </x:c>
      <x:c r="B168" s="176" t="str">
        <x:v>ohscanner.cpp.shared_ptr_race</x:v>
      </x:c>
      <x:c r="C168" s="196" t="str">
        <x:v>高优先级</x:v>
      </x:c>
      <x:c r="D168" s="176" t="str">
        <x:v>ohcpp-shared-ptr-race-candidate-001 / CWE-362</x:v>
      </x:c>
      <x:c r="E168" s="176" t="str">
        <x:v>tools/process_dump/dfx_thread.h:69
符号：stackBuf_</x:v>
      </x:c>
      <x:c r="F168" s="176" t="str">
        <x:v>未运行目标派生 harness；Docker 内通用 TSan 正控 3/3 稳定检出数据竞争，原子固定对照 3/3 干净。
方法控制不证明抽样组件存在竞态。</x:v>
      </x:c>
      <x:c r="G168" s="195" t="str">
        <x:v>not_testable</x:v>
      </x:c>
      <x:c r="H16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8" s="191" t="str">
        <x:f>IFERROR(HYPERLINK("file:///D:/openHarmonyScanner/outputs/01a14d00-bc78-7ac2-9520-210d4b92b1ac/poc/index.json","无专用 PoC"),"无专用 PoC")</x:f>
        <x:v>无专用 PoC</x:v>
      </x:c>
    </x:row>
    <x:row r="169" ht="58" customHeight="1">
      <x:c r="A169" s="175" t="str">
        <x:v>hiviewdfx_faultloggerd
openharmony/hiviewdfx_faultloggerd
CR-0164</x:v>
      </x:c>
      <x:c r="B169" s="176" t="str">
        <x:v>ohscanner.cpp.shared_ptr_race</x:v>
      </x:c>
      <x:c r="C169" s="196" t="str">
        <x:v>高优先级</x:v>
      </x:c>
      <x:c r="D169" s="176" t="str">
        <x:v>ohcpp-shared-ptr-race-candidate-001 / CWE-362</x:v>
      </x:c>
      <x:c r="E169" s="176" t="str">
        <x:v>tools/process_dump/dfx_thread.h:87
符号：processInfo_</x:v>
      </x:c>
      <x:c r="F169" s="176" t="str">
        <x:v>未运行目标派生 harness；Docker 内通用 TSan 正控 3/3 稳定检出数据竞争，原子固定对照 3/3 干净。
方法控制不证明抽样组件存在竞态。</x:v>
      </x:c>
      <x:c r="G169" s="195" t="str">
        <x:v>not_testable</x:v>
      </x:c>
      <x:c r="H16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69" s="191" t="str">
        <x:f>IFERROR(HYPERLINK("file:///D:/openHarmonyScanner/outputs/01a14d00-bc78-7ac2-9520-210d4b92b1ac/poc/index.json","无专用 PoC"),"无专用 PoC")</x:f>
        <x:v>无专用 PoC</x:v>
      </x:c>
    </x:row>
    <x:row r="170" ht="58" customHeight="1">
      <x:c r="A170" s="175" t="str">
        <x:v>hiviewdfx_faultloggerd
openharmony/hiviewdfx_faultloggerd
CR-0165</x:v>
      </x:c>
      <x:c r="B170" s="176" t="str">
        <x:v>ohscanner.cpp.shared_ptr_race</x:v>
      </x:c>
      <x:c r="C170" s="196" t="str">
        <x:v>高优先级</x:v>
      </x:c>
      <x:c r="D170" s="176" t="str">
        <x:v>ohcpp-shared-ptr-race-candidate-001 / CWE-362</x:v>
      </x:c>
      <x:c r="E170" s="176" t="str">
        <x:v>tools/process_dump/minidump_parser/include/minidump_parser.h:50
符号：minidumpSubject_</x:v>
      </x:c>
      <x:c r="F170" s="176" t="str">
        <x:v>未运行目标派生 harness；Docker 内通用 TSan 正控 3/3 稳定检出数据竞争，原子固定对照 3/3 干净。
方法控制不证明抽样组件存在竞态。</x:v>
      </x:c>
      <x:c r="G170" s="195" t="str">
        <x:v>not_testable</x:v>
      </x:c>
      <x:c r="H17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0" s="191" t="str">
        <x:f>IFERROR(HYPERLINK("file:///D:/openHarmonyScanner/outputs/01a14d00-bc78-7ac2-9520-210d4b92b1ac/poc/index.json","无专用 PoC"),"无专用 PoC")</x:f>
        <x:v>无专用 PoC</x:v>
      </x:c>
    </x:row>
    <x:row r="171" ht="58" customHeight="1">
      <x:c r="A171" s="175" t="str">
        <x:v>hiviewdfx_faultloggerd
openharmony/hiviewdfx_faultloggerd
CR-0166</x:v>
      </x:c>
      <x:c r="B171" s="176" t="str">
        <x:v>ohscanner.cpp.shared_ptr_race</x:v>
      </x:c>
      <x:c r="C171" s="196" t="str">
        <x:v>高优先级</x:v>
      </x:c>
      <x:c r="D171" s="176" t="str">
        <x:v>ohcpp-shared-ptr-race-candidate-001 / CWE-362</x:v>
      </x:c>
      <x:c r="E171" s="176" t="str">
        <x:v>tools/process_dump/minidump_parser/include/minidump_parser.h:86
符号：streamMap_</x:v>
      </x:c>
      <x:c r="F171" s="176" t="str">
        <x:v>未运行目标派生 harness；Docker 内通用 TSan 正控 3/3 稳定检出数据竞争，原子固定对照 3/3 干净。
方法控制不证明抽样组件存在竞态。</x:v>
      </x:c>
      <x:c r="G171" s="195" t="str">
        <x:v>not_testable</x:v>
      </x:c>
      <x:c r="H17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1" s="191" t="str">
        <x:f>IFERROR(HYPERLINK("file:///D:/openHarmonyScanner/outputs/01a14d00-bc78-7ac2-9520-210d4b92b1ac/poc/index.json","无专用 PoC"),"无专用 PoC")</x:f>
        <x:v>无专用 PoC</x:v>
      </x:c>
    </x:row>
    <x:row r="172" ht="58" customHeight="1">
      <x:c r="A172" s="175" t="str">
        <x:v>hiviewdfx_faultloggerd
openharmony/hiviewdfx_faultloggerd
CR-0167</x:v>
      </x:c>
      <x:c r="B172" s="176" t="str">
        <x:v>ohscanner.cpp.shared_ptr_race</x:v>
      </x:c>
      <x:c r="C172" s="196" t="str">
        <x:v>高优先级</x:v>
      </x:c>
      <x:c r="D172" s="176" t="str">
        <x:v>ohcpp-shared-ptr-race-candidate-001 / CWE-362</x:v>
      </x:c>
      <x:c r="E172" s="176" t="str">
        <x:v>tools/process_dump/minidump_parser/include/minidump_parser.h:88
符号：minidumpSubject_</x:v>
      </x:c>
      <x:c r="F172" s="176" t="str">
        <x:v>未运行目标派生 harness；Docker 内通用 TSan 正控 3/3 稳定检出数据竞争，原子固定对照 3/3 干净。
方法控制不证明抽样组件存在竞态。</x:v>
      </x:c>
      <x:c r="G172" s="195" t="str">
        <x:v>not_testable</x:v>
      </x:c>
      <x:c r="H17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2" s="191" t="str">
        <x:f>IFERROR(HYPERLINK("file:///D:/openHarmonyScanner/outputs/01a14d00-bc78-7ac2-9520-210d4b92b1ac/poc/index.json","无专用 PoC"),"无专用 PoC")</x:f>
        <x:v>无专用 PoC</x:v>
      </x:c>
    </x:row>
    <x:row r="173" ht="58" customHeight="1">
      <x:c r="A173" s="175" t="str">
        <x:v>hiviewdfx_faultloggerd
openharmony/hiviewdfx_faultloggerd
CR-0168</x:v>
      </x:c>
      <x:c r="B173" s="176" t="str">
        <x:v>ohscanner.cpp.shared_ptr_race</x:v>
      </x:c>
      <x:c r="C173" s="196" t="str">
        <x:v>高优先级</x:v>
      </x:c>
      <x:c r="D173" s="176" t="str">
        <x:v>ohcpp-shared-ptr-race-candidate-001 / CWE-362</x:v>
      </x:c>
      <x:c r="E173" s="176" t="str">
        <x:v>tools/process_dump/minidump_parser/include/minidump_parser.h:90
符号：stream_</x:v>
      </x:c>
      <x:c r="F173" s="176" t="str">
        <x:v>未运行目标派生 harness；Docker 内通用 TSan 正控 3/3 稳定检出数据竞争，原子固定对照 3/3 干净。
方法控制不证明抽样组件存在竞态。</x:v>
      </x:c>
      <x:c r="G173" s="195" t="str">
        <x:v>not_testable</x:v>
      </x:c>
      <x:c r="H17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3" s="191" t="str">
        <x:f>IFERROR(HYPERLINK("file:///D:/openHarmonyScanner/outputs/01a14d00-bc78-7ac2-9520-210d4b92b1ac/poc/index.json","无专用 PoC"),"无专用 PoC")</x:f>
        <x:v>无专用 PoC</x:v>
      </x:c>
    </x:row>
    <x:row r="174" ht="58" customHeight="1">
      <x:c r="A174" s="175" t="str">
        <x:v>hiviewdfx_faultloggerd
openharmony/hiviewdfx_faultloggerd
CR-0169</x:v>
      </x:c>
      <x:c r="B174" s="176" t="str">
        <x:v>ohscanner.cpp.shared_ptr_race</x:v>
      </x:c>
      <x:c r="C174" s="196" t="str">
        <x:v>高优先级</x:v>
      </x:c>
      <x:c r="D174" s="176" t="str">
        <x:v>ohcpp-shared-ptr-race-candidate-001 / CWE-362</x:v>
      </x:c>
      <x:c r="E174" s="176" t="str">
        <x:v>tools/process_dump/minidump_parser/include/minidump_stream.h:76
符号：arm64Context_</x:v>
      </x:c>
      <x:c r="F174" s="176" t="str">
        <x:v>未运行目标派生 harness；Docker 内通用 TSan 正控 3/3 稳定检出数据竞争，原子固定对照 3/3 干净。
方法控制不证明抽样组件存在竞态。</x:v>
      </x:c>
      <x:c r="G174" s="195" t="str">
        <x:v>not_testable</x:v>
      </x:c>
      <x:c r="H17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4" s="191" t="str">
        <x:f>IFERROR(HYPERLINK("file:///D:/openHarmonyScanner/outputs/01a14d00-bc78-7ac2-9520-210d4b92b1ac/poc/index.json","无专用 PoC"),"无专用 PoC")</x:f>
        <x:v>无专用 PoC</x:v>
      </x:c>
    </x:row>
    <x:row r="175" ht="58" customHeight="1">
      <x:c r="A175" s="175" t="str">
        <x:v>hiviewdfx_faultloggerd
openharmony/hiviewdfx_faultloggerd
CR-0170</x:v>
      </x:c>
      <x:c r="B175" s="176" t="str">
        <x:v>ohscanner.cpp.shared_ptr_race</x:v>
      </x:c>
      <x:c r="C175" s="196" t="str">
        <x:v>高优先级</x:v>
      </x:c>
      <x:c r="D175" s="176" t="str">
        <x:v>ohcpp-shared-ptr-race-candidate-001 / CWE-362</x:v>
      </x:c>
      <x:c r="E175" s="176" t="str">
        <x:v>tools/process_dump/minidump_parser/include/minidump_stream.h:162
符号：regions_</x:v>
      </x:c>
      <x:c r="F175" s="176" t="str">
        <x:v>未运行目标派生 harness；Docker 内通用 TSan 正控 3/3 稳定检出数据竞争，原子固定对照 3/3 干净。
方法控制不证明抽样组件存在竞态。</x:v>
      </x:c>
      <x:c r="G175" s="195" t="str">
        <x:v>not_testable</x:v>
      </x:c>
      <x:c r="H17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5" s="191" t="str">
        <x:f>IFERROR(HYPERLINK("file:///D:/openHarmonyScanner/outputs/01a14d00-bc78-7ac2-9520-210d4b92b1ac/poc/index.json","无专用 PoC"),"无专用 PoC")</x:f>
        <x:v>无专用 PoC</x:v>
      </x:c>
    </x:row>
    <x:row r="176" ht="58" customHeight="1">
      <x:c r="A176" s="175" t="str">
        <x:v>hiviewdfx_faultloggerd
openharmony/hiviewdfx_faultloggerd
CR-0171</x:v>
      </x:c>
      <x:c r="B176" s="176" t="str">
        <x:v>ohscanner.cpp.shared_ptr_race</x:v>
      </x:c>
      <x:c r="C176" s="196" t="str">
        <x:v>高优先级</x:v>
      </x:c>
      <x:c r="D176" s="176" t="str">
        <x:v>ohcpp-shared-ptr-race-candidate-001 / CWE-362</x:v>
      </x:c>
      <x:c r="E176" s="176" t="str">
        <x:v>tools/process_dump/minidump_parser/include/minidump_stream.h:259
符号：modules_</x:v>
      </x:c>
      <x:c r="F176" s="176" t="str">
        <x:v>未运行目标派生 harness；Docker 内通用 TSan 正控 3/3 稳定检出数据竞争，原子固定对照 3/3 干净。
方法控制不证明抽样组件存在竞态。</x:v>
      </x:c>
      <x:c r="G176" s="195" t="str">
        <x:v>not_testable</x:v>
      </x:c>
      <x:c r="H17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6" s="191" t="str">
        <x:f>IFERROR(HYPERLINK("file:///D:/openHarmonyScanner/outputs/01a14d00-bc78-7ac2-9520-210d4b92b1ac/poc/index.json","无专用 PoC"),"无专用 PoC")</x:f>
        <x:v>无专用 PoC</x:v>
      </x:c>
    </x:row>
    <x:row r="177" ht="58" customHeight="1">
      <x:c r="A177" s="175" t="str">
        <x:v>hiviewdfx_faultloggerd
openharmony/hiviewdfx_faultloggerd
CR-0172</x:v>
      </x:c>
      <x:c r="B177" s="176" t="str">
        <x:v>ohscanner.cpp.shared_ptr_race</x:v>
      </x:c>
      <x:c r="C177" s="196" t="str">
        <x:v>高优先级</x:v>
      </x:c>
      <x:c r="D177" s="176" t="str">
        <x:v>ohcpp-shared-ptr-race-candidate-001 / CWE-362</x:v>
      </x:c>
      <x:c r="E177" s="176" t="str">
        <x:v>tools/process_dump/minidump_parser/include/minidump_stream.h:353
符号：threadNames_</x:v>
      </x:c>
      <x:c r="F177" s="176" t="str">
        <x:v>未运行目标派生 harness；Docker 内通用 TSan 正控 3/3 稳定检出数据竞争，原子固定对照 3/3 干净。
方法控制不证明抽样组件存在竞态。</x:v>
      </x:c>
      <x:c r="G177" s="195" t="str">
        <x:v>not_testable</x:v>
      </x:c>
      <x:c r="H17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7" s="191" t="str">
        <x:f>IFERROR(HYPERLINK("file:///D:/openHarmonyScanner/outputs/01a14d00-bc78-7ac2-9520-210d4b92b1ac/poc/index.json","无专用 PoC"),"无专用 PoC")</x:f>
        <x:v>无专用 PoC</x:v>
      </x:c>
    </x:row>
    <x:row r="178" ht="58" customHeight="1">
      <x:c r="A178" s="175" t="str">
        <x:v>hiviewdfx_faultloggerd
openharmony/hiviewdfx_faultloggerd
CR-0173</x:v>
      </x:c>
      <x:c r="B178" s="176" t="str">
        <x:v>ohscanner.cpp.shared_ptr_race</x:v>
      </x:c>
      <x:c r="C178" s="196" t="str">
        <x:v>高优先级</x:v>
      </x:c>
      <x:c r="D178" s="176" t="str">
        <x:v>ohcpp-shared-ptr-race-candidate-001 / CWE-362</x:v>
      </x:c>
      <x:c r="E178" s="176" t="str">
        <x:v>tools/process_dump/minidump_parser/include/minidump_stream.h:403
符号：threads_</x:v>
      </x:c>
      <x:c r="F178" s="176" t="str">
        <x:v>未运行目标派生 harness；Docker 内通用 TSan 正控 3/3 稳定检出数据竞争，原子固定对照 3/3 干净。
方法控制不证明抽样组件存在竞态。</x:v>
      </x:c>
      <x:c r="G178" s="195" t="str">
        <x:v>not_testable</x:v>
      </x:c>
      <x:c r="H17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178" s="191" t="str">
        <x:f>IFERROR(HYPERLINK("file:///D:/openHarmonyScanner/outputs/01a14d00-bc78-7ac2-9520-210d4b92b1ac/poc/index.json","无专用 PoC"),"无专用 PoC")</x:f>
        <x:v>无专用 PoC</x:v>
      </x:c>
    </x:row>
    <x:row r="179" ht="58" customHeight="1">
      <x:c r="A179" s="175" t="str">
        <x:v>multimedia_player_framework
openharmony/multimedia_player_framework
CR-0174</x:v>
      </x:c>
      <x:c r="B179" s="176" t="str">
        <x:v>ohscanner.interface.ipc</x:v>
      </x:c>
      <x:c r="C179" s="182" t="str">
        <x:v>普通优先级</x:v>
      </x:c>
      <x:c r="D179" s="176" t="str">
        <x:v>ipc.relay.descriptor-boundary / CWE-441</x:v>
      </x:c>
      <x:c r="E179" s="176" t="str">
        <x:v>services/services/avmetadatahelper/ipc/helper_listener_stub.cpp:55
符号：HelperListenerStub::OnRemoteRequest</x:v>
      </x:c>
      <x:c r="F179" s="176" t="str">
        <x:v>未运行目标派生 harness；通用 sanitizer 控制仅验证方法可用，不能替代产品入口、权限边界和 CIA 影响证明。</x:v>
      </x:c>
      <x:c r="G179" s="195" t="str">
        <x:v>not_testable</x:v>
      </x:c>
      <x:c r="H179" s="176" t="str">
        <x:v>1) 补充 descriptor 解析边界、输入长度与目标缓冲区容量的完整数据流
2) 证明真实 IPC 入口、可控触发条件和具体 CIA 影响</x:v>
      </x:c>
      <x:c r="I179" s="191" t="str">
        <x:f>IFERROR(HYPERLINK("file:///D:/openHarmonyScanner/outputs/01a14d00-bc78-7ac2-9520-210d4b92b1ac/poc/index.json","无专用 PoC"),"无专用 PoC")</x:f>
        <x:v>无专用 PoC</x:v>
      </x:c>
    </x:row>
    <x:row r="180" ht="58" customHeight="1">
      <x:c r="A180" s="175" t="str">
        <x:v>multimedia_player_framework
openharmony/multimedia_player_framework
CR-0175</x:v>
      </x:c>
      <x:c r="B180" s="176" t="str">
        <x:v>ohscanner.interface.ipc</x:v>
      </x:c>
      <x:c r="C180" s="182" t="str">
        <x:v>普通优先级</x:v>
      </x:c>
      <x:c r="D180" s="176" t="str">
        <x:v>ipc.relay.descriptor-boundary / CWE-441</x:v>
      </x:c>
      <x:c r="E180" s="176" t="str">
        <x:v>services/services/avmetadatahelper/ipc/helper_listener_stub.cpp:69
符号：HelperListenerStub::OnRemoteRequest</x:v>
      </x:c>
      <x:c r="F180" s="176" t="str">
        <x:v>未运行目标派生 harness；通用 sanitizer 控制仅验证方法可用，不能替代产品入口、权限边界和 CIA 影响证明。</x:v>
      </x:c>
      <x:c r="G180" s="195" t="str">
        <x:v>not_testable</x:v>
      </x:c>
      <x:c r="H180" s="176" t="str">
        <x:v>1) 补充 descriptor 解析边界、输入长度与目标缓冲区容量的完整数据流
2) 证明真实 IPC 入口、可控触发条件和具体 CIA 影响</x:v>
      </x:c>
      <x:c r="I180" s="191" t="str">
        <x:f>IFERROR(HYPERLINK("file:///D:/openHarmonyScanner/outputs/01a14d00-bc78-7ac2-9520-210d4b92b1ac/poc/index.json","无专用 PoC"),"无专用 PoC")</x:f>
        <x:v>无专用 PoC</x:v>
      </x:c>
    </x:row>
    <x:row r="181" ht="58" customHeight="1">
      <x:c r="A181" s="175" t="str">
        <x:v>multimedia_player_framework
openharmony/multimedia_player_framework
CR-0176</x:v>
      </x:c>
      <x:c r="B181" s="176" t="str">
        <x:v>ohscanner.interface.ipc</x:v>
      </x:c>
      <x:c r="C181" s="182" t="str">
        <x:v>普通优先级</x:v>
      </x:c>
      <x:c r="D181" s="176" t="str">
        <x:v>ipc.relay.descriptor-boundary / CWE-441</x:v>
      </x:c>
      <x:c r="E181" s="176" t="str">
        <x:v>services/services/avmetadatahelper/ipc/helper_listener_stub.cpp:75
符号：HelperListenerStub::OnRemoteRequest</x:v>
      </x:c>
      <x:c r="F181" s="176" t="str">
        <x:v>未运行目标派生 harness；通用 sanitizer 控制仅验证方法可用，不能替代产品入口、权限边界和 CIA 影响证明。</x:v>
      </x:c>
      <x:c r="G181" s="195" t="str">
        <x:v>not_testable</x:v>
      </x:c>
      <x:c r="H181" s="176" t="str">
        <x:v>1) 补充 descriptor 解析边界、输入长度与目标缓冲区容量的完整数据流
2) 证明真实 IPC 入口、可控触发条件和具体 CIA 影响</x:v>
      </x:c>
      <x:c r="I181" s="191" t="str">
        <x:f>IFERROR(HYPERLINK("file:///D:/openHarmonyScanner/outputs/01a14d00-bc78-7ac2-9520-210d4b92b1ac/poc/index.json","无专用 PoC"),"无专用 PoC")</x:f>
        <x:v>无专用 PoC</x:v>
      </x:c>
    </x:row>
    <x:row r="182" ht="58" customHeight="1">
      <x:c r="A182" s="175" t="str">
        <x:v>multimedia_player_framework
openharmony/multimedia_player_framework
CR-0177</x:v>
      </x:c>
      <x:c r="B182" s="176" t="str">
        <x:v>ohscanner.interface.ipc</x:v>
      </x:c>
      <x:c r="C182" s="182" t="str">
        <x:v>普通优先级</x:v>
      </x:c>
      <x:c r="D182" s="176" t="str">
        <x:v>ipc.relay.descriptor-boundary / CWE-441</x:v>
      </x:c>
      <x:c r="E182" s="176" t="str">
        <x:v>services/services/lpp_audio_streamer/ipc/lpp_audio_streamer_listener_stub.cpp:48
符号：LppAudioStreamerListenerStub::OnRemoteRequest</x:v>
      </x:c>
      <x:c r="F182" s="176" t="str">
        <x:v>未运行目标派生 harness；通用 sanitizer 控制仅验证方法可用，不能替代产品入口、权限边界和 CIA 影响证明。</x:v>
      </x:c>
      <x:c r="G182" s="195" t="str">
        <x:v>not_testable</x:v>
      </x:c>
      <x:c r="H182" s="176" t="str">
        <x:v>1) 补充 descriptor 解析边界、输入长度与目标缓冲区容量的完整数据流
2) 证明真实 IPC 入口、可控触发条件和具体 CIA 影响</x:v>
      </x:c>
      <x:c r="I182" s="191" t="str">
        <x:f>IFERROR(HYPERLINK("file:///D:/openHarmonyScanner/outputs/01a14d00-bc78-7ac2-9520-210d4b92b1ac/poc/index.json","无专用 PoC"),"无专用 PoC")</x:f>
        <x:v>无专用 PoC</x:v>
      </x:c>
    </x:row>
    <x:row r="183" ht="58" customHeight="1">
      <x:c r="A183" s="175" t="str">
        <x:v>multimedia_player_framework
openharmony/multimedia_player_framework
CR-0178</x:v>
      </x:c>
      <x:c r="B183" s="176" t="str">
        <x:v>ohscanner.interface.ipc</x:v>
      </x:c>
      <x:c r="C183" s="182" t="str">
        <x:v>普通优先级</x:v>
      </x:c>
      <x:c r="D183" s="176" t="str">
        <x:v>ipc.relay.descriptor-boundary / CWE-441</x:v>
      </x:c>
      <x:c r="E183" s="176" t="str">
        <x:v>services/services/lpp_audio_streamer/ipc/lpp_audio_streamer_listener_stub.cpp:59
符号：LppAudioStreamerListenerStub::OnRemoteRequest</x:v>
      </x:c>
      <x:c r="F183" s="176" t="str">
        <x:v>未运行目标派生 harness；通用 sanitizer 控制仅验证方法可用，不能替代产品入口、权限边界和 CIA 影响证明。</x:v>
      </x:c>
      <x:c r="G183" s="195" t="str">
        <x:v>not_testable</x:v>
      </x:c>
      <x:c r="H183" s="176" t="str">
        <x:v>1) 补充 descriptor 解析边界、输入长度与目标缓冲区容量的完整数据流
2) 证明真实 IPC 入口、可控触发条件和具体 CIA 影响</x:v>
      </x:c>
      <x:c r="I183" s="191" t="str">
        <x:f>IFERROR(HYPERLINK("file:///D:/openHarmonyScanner/outputs/01a14d00-bc78-7ac2-9520-210d4b92b1ac/poc/index.json","无专用 PoC"),"无专用 PoC")</x:f>
        <x:v>无专用 PoC</x:v>
      </x:c>
    </x:row>
    <x:row r="184" ht="58" customHeight="1">
      <x:c r="A184" s="175" t="str">
        <x:v>multimedia_player_framework
openharmony/multimedia_player_framework
CR-0179</x:v>
      </x:c>
      <x:c r="B184" s="176" t="str">
        <x:v>ohscanner.interface.ipc</x:v>
      </x:c>
      <x:c r="C184" s="182" t="str">
        <x:v>普通优先级</x:v>
      </x:c>
      <x:c r="D184" s="176" t="str">
        <x:v>ipc.relay.descriptor-boundary / CWE-441</x:v>
      </x:c>
      <x:c r="E184" s="176" t="str">
        <x:v>services/services/lpp_video_streamer/ipc/lpp_video_streamer_listener_stub.cpp:48
符号：LppVideoStreamerListenerStub::OnRemoteRequest</x:v>
      </x:c>
      <x:c r="F184" s="176" t="str">
        <x:v>未运行目标派生 harness；通用 sanitizer 控制仅验证方法可用，不能替代产品入口、权限边界和 CIA 影响证明。</x:v>
      </x:c>
      <x:c r="G184" s="195" t="str">
        <x:v>not_testable</x:v>
      </x:c>
      <x:c r="H184" s="176" t="str">
        <x:v>1) 补充 descriptor 解析边界、输入长度与目标缓冲区容量的完整数据流
2) 证明真实 IPC 入口、可控触发条件和具体 CIA 影响</x:v>
      </x:c>
      <x:c r="I184" s="191" t="str">
        <x:f>IFERROR(HYPERLINK("file:///D:/openHarmonyScanner/outputs/01a14d00-bc78-7ac2-9520-210d4b92b1ac/poc/index.json","无专用 PoC"),"无专用 PoC")</x:f>
        <x:v>无专用 PoC</x:v>
      </x:c>
    </x:row>
    <x:row r="185" ht="58" customHeight="1">
      <x:c r="A185" s="175" t="str">
        <x:v>multimedia_player_framework
openharmony/multimedia_player_framework
CR-0180</x:v>
      </x:c>
      <x:c r="B185" s="176" t="str">
        <x:v>ohscanner.interface.ipc</x:v>
      </x:c>
      <x:c r="C185" s="182" t="str">
        <x:v>普通优先级</x:v>
      </x:c>
      <x:c r="D185" s="176" t="str">
        <x:v>ipc.relay.descriptor-boundary / CWE-441</x:v>
      </x:c>
      <x:c r="E185" s="176" t="str">
        <x:v>services/services/lpp_video_streamer/ipc/lpp_video_streamer_listener_stub.cpp:59
符号：LppVideoStreamerListenerStub::OnRemoteRequest</x:v>
      </x:c>
      <x:c r="F185" s="176" t="str">
        <x:v>未运行目标派生 harness；通用 sanitizer 控制仅验证方法可用，不能替代产品入口、权限边界和 CIA 影响证明。</x:v>
      </x:c>
      <x:c r="G185" s="195" t="str">
        <x:v>not_testable</x:v>
      </x:c>
      <x:c r="H185" s="176" t="str">
        <x:v>1) 补充 descriptor 解析边界、输入长度与目标缓冲区容量的完整数据流
2) 证明真实 IPC 入口、可控触发条件和具体 CIA 影响</x:v>
      </x:c>
      <x:c r="I185" s="191" t="str">
        <x:f>IFERROR(HYPERLINK("file:///D:/openHarmonyScanner/outputs/01a14d00-bc78-7ac2-9520-210d4b92b1ac/poc/index.json","无专用 PoC"),"无专用 PoC")</x:f>
        <x:v>无专用 PoC</x:v>
      </x:c>
    </x:row>
    <x:row r="186" ht="58" customHeight="1">
      <x:c r="A186" s="175" t="str">
        <x:v>multimedia_player_framework
openharmony/multimedia_player_framework
CR-0181</x:v>
      </x:c>
      <x:c r="B186" s="176" t="str">
        <x:v>ohscanner.interface.ipc</x:v>
      </x:c>
      <x:c r="C186" s="182" t="str">
        <x:v>普通优先级</x:v>
      </x:c>
      <x:c r="D186" s="176" t="str">
        <x:v>ipc.relay.descriptor-boundary / CWE-441</x:v>
      </x:c>
      <x:c r="E186" s="176" t="str">
        <x:v>services/services/media_source/ipc/media_source_loader_stub.cpp:61
符号：MediaSourceLoaderStub::OnRemoteRequest</x:v>
      </x:c>
      <x:c r="F186" s="176" t="str">
        <x:v>未运行目标派生 harness；通用 sanitizer 控制仅验证方法可用，不能替代产品入口、权限边界和 CIA 影响证明。</x:v>
      </x:c>
      <x:c r="G186" s="195" t="str">
        <x:v>not_testable</x:v>
      </x:c>
      <x:c r="H186" s="176" t="str">
        <x:v>1) 补充 descriptor 解析边界、输入长度与目标缓冲区容量的完整数据流
2) 证明真实 IPC 入口、可控触发条件和具体 CIA 影响</x:v>
      </x:c>
      <x:c r="I186" s="191" t="str">
        <x:f>IFERROR(HYPERLINK("file:///D:/openHarmonyScanner/outputs/01a14d00-bc78-7ac2-9520-210d4b92b1ac/poc/index.json","无专用 PoC"),"无专用 PoC")</x:f>
        <x:v>无专用 PoC</x:v>
      </x:c>
    </x:row>
    <x:row r="187" ht="58" customHeight="1">
      <x:c r="A187" s="175" t="str">
        <x:v>multimedia_player_framework
openharmony/multimedia_player_framework
CR-0182</x:v>
      </x:c>
      <x:c r="B187" s="176" t="str">
        <x:v>ohscanner.interface.ipc</x:v>
      </x:c>
      <x:c r="C187" s="182" t="str">
        <x:v>普通优先级</x:v>
      </x:c>
      <x:c r="D187" s="176" t="str">
        <x:v>ipc.relay.descriptor-boundary / CWE-441</x:v>
      </x:c>
      <x:c r="E187" s="176" t="str">
        <x:v>services/services/media_source/ipc/media_source_loader_stub.cpp:75
符号：MediaSourceLoaderStub::OnRemoteRequest</x:v>
      </x:c>
      <x:c r="F187" s="176" t="str">
        <x:v>未运行目标派生 harness；通用 sanitizer 控制仅验证方法可用，不能替代产品入口、权限边界和 CIA 影响证明。</x:v>
      </x:c>
      <x:c r="G187" s="195" t="str">
        <x:v>not_testable</x:v>
      </x:c>
      <x:c r="H187" s="176" t="str">
        <x:v>1) 补充 descriptor 解析边界、输入长度与目标缓冲区容量的完整数据流
2) 证明真实 IPC 入口、可控触发条件和具体 CIA 影响</x:v>
      </x:c>
      <x:c r="I187" s="191" t="str">
        <x:f>IFERROR(HYPERLINK("file:///D:/openHarmonyScanner/outputs/01a14d00-bc78-7ac2-9520-210d4b92b1ac/poc/index.json","无专用 PoC"),"无专用 PoC")</x:f>
        <x:v>无专用 PoC</x:v>
      </x:c>
    </x:row>
    <x:row r="188" ht="58" customHeight="1">
      <x:c r="A188" s="175" t="str">
        <x:v>multimedia_player_framework
openharmony/multimedia_player_framework
CR-0183</x:v>
      </x:c>
      <x:c r="B188" s="176" t="str">
        <x:v>ohscanner.interface.ipc</x:v>
      </x:c>
      <x:c r="C188" s="182" t="str">
        <x:v>普通优先级</x:v>
      </x:c>
      <x:c r="D188" s="176" t="str">
        <x:v>ipc.relay.descriptor-boundary / CWE-441</x:v>
      </x:c>
      <x:c r="E188" s="176" t="str">
        <x:v>services/services/media_source/ipc/media_source_loader_stub.cpp:82
符号：MediaSourceLoaderStub::OnRemoteRequest</x:v>
      </x:c>
      <x:c r="F188" s="176" t="str">
        <x:v>未运行目标派生 harness；通用 sanitizer 控制仅验证方法可用，不能替代产品入口、权限边界和 CIA 影响证明。</x:v>
      </x:c>
      <x:c r="G188" s="195" t="str">
        <x:v>not_testable</x:v>
      </x:c>
      <x:c r="H188" s="176" t="str">
        <x:v>1) 补充 descriptor 解析边界、输入长度与目标缓冲区容量的完整数据流
2) 证明真实 IPC 入口、可控触发条件和具体 CIA 影响</x:v>
      </x:c>
      <x:c r="I188" s="191" t="str">
        <x:f>IFERROR(HYPERLINK("file:///D:/openHarmonyScanner/outputs/01a14d00-bc78-7ac2-9520-210d4b92b1ac/poc/index.json","无专用 PoC"),"无专用 PoC")</x:f>
        <x:v>无专用 PoC</x:v>
      </x:c>
    </x:row>
    <x:row r="189" ht="58" customHeight="1">
      <x:c r="A189" s="175" t="str">
        <x:v>multimedia_player_framework
openharmony/multimedia_player_framework
CR-0184</x:v>
      </x:c>
      <x:c r="B189" s="176" t="str">
        <x:v>ohscanner.interface.ipc</x:v>
      </x:c>
      <x:c r="C189" s="182" t="str">
        <x:v>普通优先级</x:v>
      </x:c>
      <x:c r="D189" s="176" t="str">
        <x:v>ipc.relay.descriptor-boundary / CWE-441</x:v>
      </x:c>
      <x:c r="E189" s="176" t="str">
        <x:v>services/services/pcm_output/ipc/pcm_output_callback_stub.cpp:46
符号：PCMOutputCallbackStub::OnRemoteRequest</x:v>
      </x:c>
      <x:c r="F189" s="176" t="str">
        <x:v>未运行目标派生 harness；通用 sanitizer 控制仅验证方法可用，不能替代产品入口、权限边界和 CIA 影响证明。</x:v>
      </x:c>
      <x:c r="G189" s="195" t="str">
        <x:v>not_testable</x:v>
      </x:c>
      <x:c r="H189" s="176" t="str">
        <x:v>1) 补充 descriptor 解析边界、输入长度与目标缓冲区容量的完整数据流
2) 证明真实 IPC 入口、可控触发条件和具体 CIA 影响</x:v>
      </x:c>
      <x:c r="I189" s="191" t="str">
        <x:f>IFERROR(HYPERLINK("file:///D:/openHarmonyScanner/outputs/01a14d00-bc78-7ac2-9520-210d4b92b1ac/poc/index.json","无专用 PoC"),"无专用 PoC")</x:f>
        <x:v>无专用 PoC</x:v>
      </x:c>
    </x:row>
    <x:row r="190" ht="58" customHeight="1">
      <x:c r="A190" s="175" t="str">
        <x:v>multimedia_player_framework
openharmony/multimedia_player_framework
CR-0185</x:v>
      </x:c>
      <x:c r="B190" s="176" t="str">
        <x:v>ohscanner.interface.ipc</x:v>
      </x:c>
      <x:c r="C190" s="182" t="str">
        <x:v>普通优先级</x:v>
      </x:c>
      <x:c r="D190" s="176" t="str">
        <x:v>ipc.relay.descriptor-boundary / CWE-441</x:v>
      </x:c>
      <x:c r="E190" s="176" t="str">
        <x:v>services/services/pcm_output/ipc/pcm_output_callback_stub.cpp:56
符号：PCMOutputCallbackStub::OnRemoteRequest</x:v>
      </x:c>
      <x:c r="F190" s="176" t="str">
        <x:v>未运行目标派生 harness；通用 sanitizer 控制仅验证方法可用，不能替代产品入口、权限边界和 CIA 影响证明。</x:v>
      </x:c>
      <x:c r="G190" s="195" t="str">
        <x:v>not_testable</x:v>
      </x:c>
      <x:c r="H190" s="176" t="str">
        <x:v>1) 补充 descriptor 解析边界、输入长度与目标缓冲区容量的完整数据流
2) 证明真实 IPC 入口、可控触发条件和具体 CIA 影响</x:v>
      </x:c>
      <x:c r="I190" s="191" t="str">
        <x:f>IFERROR(HYPERLINK("file:///D:/openHarmonyScanner/outputs/01a14d00-bc78-7ac2-9520-210d4b92b1ac/poc/index.json","无专用 PoC"),"无专用 PoC")</x:f>
        <x:v>无专用 PoC</x:v>
      </x:c>
    </x:row>
    <x:row r="191" ht="58" customHeight="1">
      <x:c r="A191" s="175" t="str">
        <x:v>multimedia_player_framework
openharmony/multimedia_player_framework
CR-0186</x:v>
      </x:c>
      <x:c r="B191" s="176" t="str">
        <x:v>ohscanner.interface.ipc</x:v>
      </x:c>
      <x:c r="C191" s="182" t="str">
        <x:v>普通优先级</x:v>
      </x:c>
      <x:c r="D191" s="176" t="str">
        <x:v>ipc.relay.descriptor-boundary / CWE-441</x:v>
      </x:c>
      <x:c r="E191" s="176" t="str">
        <x:v>services/services/player/ipc/player_listener_stub.cpp:50
符号：PlayerListenerStub::OnRemoteRequest</x:v>
      </x:c>
      <x:c r="F191" s="176" t="str">
        <x:v>未运行目标派生 harness；通用 sanitizer 控制仅验证方法可用，不能替代产品入口、权限边界和 CIA 影响证明。</x:v>
      </x:c>
      <x:c r="G191" s="195" t="str">
        <x:v>not_testable</x:v>
      </x:c>
      <x:c r="H191" s="176" t="str">
        <x:v>1) 补充 descriptor 解析边界、输入长度与目标缓冲区容量的完整数据流
2) 证明真实 IPC 入口、可控触发条件和具体 CIA 影响</x:v>
      </x:c>
      <x:c r="I191" s="191" t="str">
        <x:f>IFERROR(HYPERLINK("file:///D:/openHarmonyScanner/outputs/01a14d00-bc78-7ac2-9520-210d4b92b1ac/poc/index.json","无专用 PoC"),"无专用 PoC")</x:f>
        <x:v>无专用 PoC</x:v>
      </x:c>
    </x:row>
    <x:row r="192" ht="58" customHeight="1">
      <x:c r="A192" s="175" t="str">
        <x:v>multimedia_player_framework
openharmony/multimedia_player_framework
CR-0187</x:v>
      </x:c>
      <x:c r="B192" s="176" t="str">
        <x:v>ohscanner.interface.ipc</x:v>
      </x:c>
      <x:c r="C192" s="182" t="str">
        <x:v>普通优先级</x:v>
      </x:c>
      <x:c r="D192" s="176" t="str">
        <x:v>ipc.relay.descriptor-boundary / CWE-441</x:v>
      </x:c>
      <x:c r="E192" s="176" t="str">
        <x:v>services/services/player/ipc/player_listener_stub.cpp:61
符号：PlayerListenerStub::OnRemoteRequest</x:v>
      </x:c>
      <x:c r="F192" s="176" t="str">
        <x:v>未运行目标派生 harness；通用 sanitizer 控制仅验证方法可用，不能替代产品入口、权限边界和 CIA 影响证明。</x:v>
      </x:c>
      <x:c r="G192" s="195" t="str">
        <x:v>not_testable</x:v>
      </x:c>
      <x:c r="H192" s="176" t="str">
        <x:v>1) 补充 descriptor 解析边界、输入长度与目标缓冲区容量的完整数据流
2) 证明真实 IPC 入口、可控触发条件和具体 CIA 影响</x:v>
      </x:c>
      <x:c r="I192" s="191" t="str">
        <x:f>IFERROR(HYPERLINK("file:///D:/openHarmonyScanner/outputs/01a14d00-bc78-7ac2-9520-210d4b92b1ac/poc/index.json","无专用 PoC"),"无专用 PoC")</x:f>
        <x:v>无专用 PoC</x:v>
      </x:c>
    </x:row>
    <x:row r="193" ht="58" customHeight="1">
      <x:c r="A193" s="175" t="str">
        <x:v>multimedia_player_framework
openharmony/multimedia_player_framework
CR-0188</x:v>
      </x:c>
      <x:c r="B193" s="176" t="str">
        <x:v>ohscanner.interface.ipc</x:v>
      </x:c>
      <x:c r="C193" s="182" t="str">
        <x:v>普通优先级</x:v>
      </x:c>
      <x:c r="D193" s="176" t="str">
        <x:v>ipc.relay.descriptor-boundary / CWE-441</x:v>
      </x:c>
      <x:c r="E193" s="176" t="str">
        <x:v>services/services/player/ipc/player_listener_stub.cpp:67
符号：PlayerListenerStub::OnRemoteRequest</x:v>
      </x:c>
      <x:c r="F193" s="176" t="str">
        <x:v>未运行目标派生 harness；通用 sanitizer 控制仅验证方法可用，不能替代产品入口、权限边界和 CIA 影响证明。</x:v>
      </x:c>
      <x:c r="G193" s="195" t="str">
        <x:v>not_testable</x:v>
      </x:c>
      <x:c r="H193" s="176" t="str">
        <x:v>1) 补充 descriptor 解析边界、输入长度与目标缓冲区容量的完整数据流
2) 证明真实 IPC 入口、可控触发条件和具体 CIA 影响</x:v>
      </x:c>
      <x:c r="I193" s="191" t="str">
        <x:f>IFERROR(HYPERLINK("file:///D:/openHarmonyScanner/outputs/01a14d00-bc78-7ac2-9520-210d4b92b1ac/poc/index.json","无专用 PoC"),"无专用 PoC")</x:f>
        <x:v>无专用 PoC</x:v>
      </x:c>
    </x:row>
    <x:row r="194" ht="58" customHeight="1">
      <x:c r="A194" s="175" t="str">
        <x:v>multimedia_player_framework
openharmony/multimedia_player_framework
CR-0189</x:v>
      </x:c>
      <x:c r="B194" s="176" t="str">
        <x:v>ohscanner.interface.ipc</x:v>
      </x:c>
      <x:c r="C194" s="182" t="str">
        <x:v>普通优先级</x:v>
      </x:c>
      <x:c r="D194" s="176" t="str">
        <x:v>ipc.relay.descriptor-boundary / CWE-441</x:v>
      </x:c>
      <x:c r="E194" s="176" t="str">
        <x:v>services/services/player/ipc/player_listener_stub.cpp:124
符号：PlayerListenerStub::OnInfo</x:v>
      </x:c>
      <x:c r="F194" s="176" t="str">
        <x:v>未运行目标派生 harness；通用 sanitizer 控制仅验证方法可用，不能替代产品入口、权限边界和 CIA 影响证明。</x:v>
      </x:c>
      <x:c r="G194" s="195" t="str">
        <x:v>not_testable</x:v>
      </x:c>
      <x:c r="H194" s="176" t="str">
        <x:v>1) 补充 descriptor 解析边界、输入长度与目标缓冲区容量的完整数据流
2) 证明真实 IPC 入口、可控触发条件和具体 CIA 影响</x:v>
      </x:c>
      <x:c r="I194" s="191" t="str">
        <x:f>IFERROR(HYPERLINK("file:///D:/openHarmonyScanner/outputs/01a14d00-bc78-7ac2-9520-210d4b92b1ac/poc/index.json","无专用 PoC"),"无专用 PoC")</x:f>
        <x:v>无专用 PoC</x:v>
      </x:c>
    </x:row>
    <x:row r="195" ht="58" customHeight="1">
      <x:c r="A195" s="175" t="str">
        <x:v>multimedia_player_framework
openharmony/multimedia_player_framework
CR-0190</x:v>
      </x:c>
      <x:c r="B195" s="176" t="str">
        <x:v>ohscanner.interface.ipc</x:v>
      </x:c>
      <x:c r="C195" s="182" t="str">
        <x:v>普通优先级</x:v>
      </x:c>
      <x:c r="D195" s="176" t="str">
        <x:v>ipc.relay.descriptor-boundary / CWE-441</x:v>
      </x:c>
      <x:c r="E195" s="176" t="str">
        <x:v>services/services/player/ipc/player_service_stub.cpp:376
符号：PlayerServiceStub::OnRemoteRequest</x:v>
      </x:c>
      <x:c r="F195" s="176" t="str">
        <x:v>未运行目标派生 harness；通用 sanitizer 控制仅验证方法可用，不能替代产品入口、权限边界和 CIA 影响证明。</x:v>
      </x:c>
      <x:c r="G195" s="195" t="str">
        <x:v>not_testable</x:v>
      </x:c>
      <x:c r="H195" s="176" t="str">
        <x:v>1) 补充 descriptor 解析边界、输入长度与目标缓冲区容量的完整数据流
2) 证明真实 IPC 入口、可控触发条件和具体 CIA 影响</x:v>
      </x:c>
      <x:c r="I195" s="191" t="str">
        <x:f>IFERROR(HYPERLINK("file:///D:/openHarmonyScanner/outputs/01a14d00-bc78-7ac2-9520-210d4b92b1ac/poc/index.json","无专用 PoC"),"无专用 PoC")</x:f>
        <x:v>无专用 PoC</x:v>
      </x:c>
    </x:row>
    <x:row r="196" ht="58" customHeight="1">
      <x:c r="A196" s="175" t="str">
        <x:v>multimedia_player_framework
openharmony/multimedia_player_framework
CR-0191</x:v>
      </x:c>
      <x:c r="B196" s="176" t="str">
        <x:v>ohscanner.interface.ipc</x:v>
      </x:c>
      <x:c r="C196" s="182" t="str">
        <x:v>普通优先级</x:v>
      </x:c>
      <x:c r="D196" s="176" t="str">
        <x:v>ipc.relay.descriptor-boundary / CWE-441</x:v>
      </x:c>
      <x:c r="E196" s="176" t="str">
        <x:v>services/services/recorder/ipc/recorder_service_stub.cpp:215
符号：RecorderServiceStub::OnRemoteRequest</x:v>
      </x:c>
      <x:c r="F196" s="176" t="str">
        <x:v>未运行目标派生 harness；通用 sanitizer 控制仅验证方法可用，不能替代产品入口、权限边界和 CIA 影响证明。</x:v>
      </x:c>
      <x:c r="G196" s="195" t="str">
        <x:v>not_testable</x:v>
      </x:c>
      <x:c r="H196" s="176" t="str">
        <x:v>1) 补充 descriptor 解析边界、输入长度与目标缓冲区容量的完整数据流
2) 证明真实 IPC 入口、可控触发条件和具体 CIA 影响</x:v>
      </x:c>
      <x:c r="I196" s="191" t="str">
        <x:f>IFERROR(HYPERLINK("file:///D:/openHarmonyScanner/outputs/01a14d00-bc78-7ac2-9520-210d4b92b1ac/poc/index.json","无专用 PoC"),"无专用 PoC")</x:f>
        <x:v>无专用 PoC</x:v>
      </x:c>
    </x:row>
    <x:row r="197" ht="58" customHeight="1">
      <x:c r="A197" s="175" t="str">
        <x:v>multimedia_player_framework
openharmony/multimedia_player_framework
CR-0192</x:v>
      </x:c>
      <x:c r="B197" s="176" t="str">
        <x:v>ohscanner.interface.ipc</x:v>
      </x:c>
      <x:c r="C197" s="182" t="str">
        <x:v>普通优先级</x:v>
      </x:c>
      <x:c r="D197" s="176" t="str">
        <x:v>ipc.relay.descriptor-boundary / CWE-441</x:v>
      </x:c>
      <x:c r="E197" s="176" t="str">
        <x:v>services/services/recorder/ipc/recorder_service_stub.cpp:218
符号：RecorderServiceStub::OnRemoteRequest</x:v>
      </x:c>
      <x:c r="F197" s="176" t="str">
        <x:v>未运行目标派生 harness；通用 sanitizer 控制仅验证方法可用，不能替代产品入口、权限边界和 CIA 影响证明。</x:v>
      </x:c>
      <x:c r="G197" s="195" t="str">
        <x:v>not_testable</x:v>
      </x:c>
      <x:c r="H197" s="176" t="str">
        <x:v>1) 补充 descriptor 解析边界、输入长度与目标缓冲区容量的完整数据流
2) 证明真实 IPC 入口、可控触发条件和具体 CIA 影响</x:v>
      </x:c>
      <x:c r="I197" s="191" t="str">
        <x:f>IFERROR(HYPERLINK("file:///D:/openHarmonyScanner/outputs/01a14d00-bc78-7ac2-9520-210d4b92b1ac/poc/index.json","无专用 PoC"),"无专用 PoC")</x:f>
        <x:v>无专用 PoC</x:v>
      </x:c>
    </x:row>
    <x:row r="198" ht="58" customHeight="1">
      <x:c r="A198" s="175" t="str">
        <x:v>multimedia_player_framework
openharmony/multimedia_player_framework
CR-0193</x:v>
      </x:c>
      <x:c r="B198" s="176" t="str">
        <x:v>ohscanner.interface.ipc</x:v>
      </x:c>
      <x:c r="C198" s="182" t="str">
        <x:v>普通优先级</x:v>
      </x:c>
      <x:c r="D198" s="176" t="str">
        <x:v>ipc.relay.descriptor-boundary / CWE-441</x:v>
      </x:c>
      <x:c r="E198" s="176" t="str">
        <x:v>services/services/screen_capture_monitor/ipc/screen_capture_monitor_service_stub.cpp:92
符号：ScreenCaptureMonitorServiceStub::OnRemoteRequest</x:v>
      </x:c>
      <x:c r="F198" s="176" t="str">
        <x:v>未运行目标派生 harness；通用 sanitizer 控制仅验证方法可用，不能替代产品入口、权限边界和 CIA 影响证明。</x:v>
      </x:c>
      <x:c r="G198" s="195" t="str">
        <x:v>not_testable</x:v>
      </x:c>
      <x:c r="H198" s="176" t="str">
        <x:v>1) 补充 descriptor 解析边界、输入长度与目标缓冲区容量的完整数据流
2) 证明真实 IPC 入口、可控触发条件和具体 CIA 影响</x:v>
      </x:c>
      <x:c r="I198" s="191" t="str">
        <x:f>IFERROR(HYPERLINK("file:///D:/openHarmonyScanner/outputs/01a14d00-bc78-7ac2-9520-210d4b92b1ac/poc/index.json","无专用 PoC"),"无专用 PoC")</x:f>
        <x:v>无专用 PoC</x:v>
      </x:c>
    </x:row>
    <x:row r="199" ht="58" customHeight="1">
      <x:c r="A199" s="175" t="str">
        <x:v>multimedia_player_framework
openharmony/multimedia_player_framework
CR-0194</x:v>
      </x:c>
      <x:c r="B199" s="176" t="str">
        <x:v>ohscanner.interface.ipc</x:v>
      </x:c>
      <x:c r="C199" s="182" t="str">
        <x:v>普通优先级</x:v>
      </x:c>
      <x:c r="D199" s="176" t="str">
        <x:v>ipc.relay.descriptor-boundary / CWE-441</x:v>
      </x:c>
      <x:c r="E199" s="176" t="str">
        <x:v>services/services/transcoder/ipc/transcoder_listener_stub.cpp:47
符号：TransCoderListenerStub::OnRemoteRequest</x:v>
      </x:c>
      <x:c r="F199" s="176" t="str">
        <x:v>未运行目标派生 harness；通用 sanitizer 控制仅验证方法可用，不能替代产品入口、权限边界和 CIA 影响证明。</x:v>
      </x:c>
      <x:c r="G199" s="195" t="str">
        <x:v>not_testable</x:v>
      </x:c>
      <x:c r="H199" s="176" t="str">
        <x:v>1) 补充 descriptor 解析边界、输入长度与目标缓冲区容量的完整数据流
2) 证明真实 IPC 入口、可控触发条件和具体 CIA 影响</x:v>
      </x:c>
      <x:c r="I199" s="191" t="str">
        <x:f>IFERROR(HYPERLINK("file:///D:/openHarmonyScanner/outputs/01a14d00-bc78-7ac2-9520-210d4b92b1ac/poc/index.json","无专用 PoC"),"无专用 PoC")</x:f>
        <x:v>无专用 PoC</x:v>
      </x:c>
    </x:row>
    <x:row r="200" ht="58" customHeight="1">
      <x:c r="A200" s="175" t="str">
        <x:v>multimedia_player_framework
openharmony/multimedia_player_framework
CR-0195</x:v>
      </x:c>
      <x:c r="B200" s="176" t="str">
        <x:v>ohscanner.interface.ipc</x:v>
      </x:c>
      <x:c r="C200" s="182" t="str">
        <x:v>普通优先级</x:v>
      </x:c>
      <x:c r="D200" s="176" t="str">
        <x:v>ipc.relay.descriptor-boundary / CWE-441</x:v>
      </x:c>
      <x:c r="E200" s="176" t="str">
        <x:v>services/services/transcoder/ipc/transcoder_listener_stub.cpp:53
符号：TransCoderListenerStub::OnRemoteRequest</x:v>
      </x:c>
      <x:c r="F200" s="176" t="str">
        <x:v>未运行目标派生 harness；通用 sanitizer 控制仅验证方法可用，不能替代产品入口、权限边界和 CIA 影响证明。</x:v>
      </x:c>
      <x:c r="G200" s="195" t="str">
        <x:v>not_testable</x:v>
      </x:c>
      <x:c r="H200" s="176" t="str">
        <x:v>1) 补充 descriptor 解析边界、输入长度与目标缓冲区容量的完整数据流
2) 证明真实 IPC 入口、可控触发条件和具体 CIA 影响</x:v>
      </x:c>
      <x:c r="I200" s="191" t="str">
        <x:f>IFERROR(HYPERLINK("file:///D:/openHarmonyScanner/outputs/01a14d00-bc78-7ac2-9520-210d4b92b1ac/poc/index.json","无专用 PoC"),"无专用 PoC")</x:f>
        <x:v>无专用 PoC</x:v>
      </x:c>
    </x:row>
    <x:row r="201" ht="58" customHeight="1">
      <x:c r="A201" s="175" t="str">
        <x:v>multimedia_player_framework
openharmony/multimedia_player_framework
CR-0196</x:v>
      </x:c>
      <x:c r="B201" s="176" t="str">
        <x:v>ohscanner.interface.ipc</x:v>
      </x:c>
      <x:c r="C201" s="182" t="str">
        <x:v>普通优先级</x:v>
      </x:c>
      <x:c r="D201" s="176" t="str">
        <x:v>ipc.relay.descriptor-boundary / CWE-441</x:v>
      </x:c>
      <x:c r="E201" s="176" t="str">
        <x:v>services/services/transcoder/ipc/transcoder_service_stub.cpp:128
符号：TransCoderServiceStub::OnRemoteRequest</x:v>
      </x:c>
      <x:c r="F201" s="176" t="str">
        <x:v>未运行目标派生 harness；通用 sanitizer 控制仅验证方法可用，不能替代产品入口、权限边界和 CIA 影响证明。</x:v>
      </x:c>
      <x:c r="G201" s="195" t="str">
        <x:v>not_testable</x:v>
      </x:c>
      <x:c r="H201" s="176" t="str">
        <x:v>1) 补充 descriptor 解析边界、输入长度与目标缓冲区容量的完整数据流
2) 证明真实 IPC 入口、可控触发条件和具体 CIA 影响</x:v>
      </x:c>
      <x:c r="I201" s="191" t="str">
        <x:f>IFERROR(HYPERLINK("file:///D:/openHarmonyScanner/outputs/01a14d00-bc78-7ac2-9520-210d4b92b1ac/poc/index.json","无专用 PoC"),"无专用 PoC")</x:f>
        <x:v>无专用 PoC</x:v>
      </x:c>
    </x:row>
    <x:row r="202" ht="58" customHeight="1">
      <x:c r="A202" s="175" t="str">
        <x:v>arkcompiler_taihe_ffi_gen
openharmony/arkcompiler_taihe_ffi_gen
CR-0197</x:v>
      </x:c>
      <x:c r="B202" s="176" t="str">
        <x:v>ohscanner.cpp.shared_ptr_race</x:v>
      </x:c>
      <x:c r="C202" s="196" t="str">
        <x:v>高优先级</x:v>
      </x:c>
      <x:c r="D202" s="176" t="str">
        <x:v>ohcpp-shared-ptr-race-candidate-001 / CWE-362</x:v>
      </x:c>
      <x:c r="E202" s="176" t="str">
        <x:v>test/ani_image/author/src/ohos.multimedia.image.image.impl.cpp:71
符号：m_pdata</x:v>
      </x:c>
      <x:c r="F202" s="176" t="str">
        <x:v>未运行目标派生 harness；Docker 内通用 TSan 正控 3/3 稳定检出数据竞争，原子固定对照 3/3 干净。
方法控制不证明抽样组件存在竞态。</x:v>
      </x:c>
      <x:c r="G202" s="195" t="str">
        <x:v>not_testable</x:v>
      </x:c>
      <x:c r="H20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2" s="191" t="str">
        <x:f>IFERROR(HYPERLINK("file:///D:/openHarmonyScanner/outputs/01a14d00-bc78-7ac2-9520-210d4b92b1ac/poc/index.json","无专用 PoC"),"无专用 PoC")</x:f>
        <x:v>无专用 PoC</x:v>
      </x:c>
    </x:row>
    <x:row r="203" ht="58" customHeight="1">
      <x:c r="A203" s="175" t="str">
        <x:v>arkcompiler_taihe_ffi_gen
openharmony/arkcompiler_taihe_ffi_gen
CR-0198</x:v>
      </x:c>
      <x:c r="B203" s="176" t="str">
        <x:v>ohscanner.cpp.shared_ptr_race</x:v>
      </x:c>
      <x:c r="C203" s="196" t="str">
        <x:v>高优先级</x:v>
      </x:c>
      <x:c r="D203" s="176" t="str">
        <x:v>ohcpp-shared-ptr-race-candidate-001 / CWE-362</x:v>
      </x:c>
      <x:c r="E203" s="176" t="str">
        <x:v>test/ani_image/author/src/ohos.multimedia.image.image.impl.cpp:77
符号：m_pdata</x:v>
      </x:c>
      <x:c r="F203" s="176" t="str">
        <x:v>未运行目标派生 harness；Docker 内通用 TSan 正控 3/3 稳定检出数据竞争，原子固定对照 3/3 干净。
方法控制不证明抽样组件存在竞态。</x:v>
      </x:c>
      <x:c r="G203" s="195" t="str">
        <x:v>not_testable</x:v>
      </x:c>
      <x:c r="H20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3" s="191" t="str">
        <x:f>IFERROR(HYPERLINK("file:///D:/openHarmonyScanner/outputs/01a14d00-bc78-7ac2-9520-210d4b92b1ac/poc/index.json","无专用 PoC"),"无专用 PoC")</x:f>
        <x:v>无专用 PoC</x:v>
      </x:c>
    </x:row>
    <x:row r="204" ht="58" customHeight="1">
      <x:c r="A204" s="175" t="str">
        <x:v>arkcompiler_taihe_ffi_gen
openharmony/arkcompiler_taihe_ffi_gen
CR-0199</x:v>
      </x:c>
      <x:c r="B204" s="176" t="str">
        <x:v>ohscanner.cpp.shared_ptr_race</x:v>
      </x:c>
      <x:c r="C204" s="196" t="str">
        <x:v>高优先级</x:v>
      </x:c>
      <x:c r="D204" s="176" t="str">
        <x:v>ohcpp-shared-ptr-race-candidate-001 / CWE-362</x:v>
      </x:c>
      <x:c r="E204" s="176" t="str">
        <x:v>test/ani_image/author/src/ohos.multimedia.image.image.impl.cpp:78
符号：m_pdata</x:v>
      </x:c>
      <x:c r="F204" s="176" t="str">
        <x:v>未运行目标派生 harness；Docker 内通用 TSan 正控 3/3 稳定检出数据竞争，原子固定对照 3/3 干净。
方法控制不证明抽样组件存在竞态。</x:v>
      </x:c>
      <x:c r="G204" s="195" t="str">
        <x:v>not_testable</x:v>
      </x:c>
      <x:c r="H20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4" s="191" t="str">
        <x:f>IFERROR(HYPERLINK("file:///D:/openHarmonyScanner/outputs/01a14d00-bc78-7ac2-9520-210d4b92b1ac/poc/index.json","无专用 PoC"),"无专用 PoC")</x:f>
        <x:v>无专用 PoC</x:v>
      </x:c>
    </x:row>
    <x:row r="205" ht="58" customHeight="1">
      <x:c r="A205" s="175" t="str">
        <x:v>arkcompiler_taihe_ffi_gen
openharmony/arkcompiler_taihe_ffi_gen
CR-0200</x:v>
      </x:c>
      <x:c r="B205" s="176" t="str">
        <x:v>ohscanner.cpp.shared_ptr_race</x:v>
      </x:c>
      <x:c r="C205" s="196" t="str">
        <x:v>高优先级</x:v>
      </x:c>
      <x:c r="D205" s="176" t="str">
        <x:v>ohcpp-shared-ptr-race-candidate-001 / CWE-362</x:v>
      </x:c>
      <x:c r="E205" s="176" t="str">
        <x:v>test/ani_image/author/src/ohos.multimedia.image.image.impl.cpp:93
符号：m_pdata</x:v>
      </x:c>
      <x:c r="F205" s="176" t="str">
        <x:v>未运行目标派生 harness；Docker 内通用 TSan 正控 3/3 稳定检出数据竞争，原子固定对照 3/3 干净。
方法控制不证明抽样组件存在竞态。</x:v>
      </x:c>
      <x:c r="G205" s="195" t="str">
        <x:v>not_testable</x:v>
      </x:c>
      <x:c r="H20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5" s="191" t="str">
        <x:f>IFERROR(HYPERLINK("file:///D:/openHarmonyScanner/outputs/01a14d00-bc78-7ac2-9520-210d4b92b1ac/poc/index.json","无专用 PoC"),"无专用 PoC")</x:f>
        <x:v>无专用 PoC</x:v>
      </x:c>
    </x:row>
    <x:row r="206" ht="58" customHeight="1">
      <x:c r="A206" s="175" t="str">
        <x:v>arkcompiler_taihe_ffi_gen
openharmony/arkcompiler_taihe_ffi_gen
CR-0201</x:v>
      </x:c>
      <x:c r="B206" s="176" t="str">
        <x:v>ohscanner.cpp.shared_ptr_race</x:v>
      </x:c>
      <x:c r="C206" s="196" t="str">
        <x:v>高优先级</x:v>
      </x:c>
      <x:c r="D206" s="176" t="str">
        <x:v>ohcpp-shared-ptr-race-candidate-001 / CWE-362</x:v>
      </x:c>
      <x:c r="E206" s="176" t="str">
        <x:v>test/ani_image/author/src/ohos.multimedia.image.image.impl.cpp:100
符号：m_pdata</x:v>
      </x:c>
      <x:c r="F206" s="176" t="str">
        <x:v>未运行目标派生 harness；Docker 内通用 TSan 正控 3/3 稳定检出数据竞争，原子固定对照 3/3 干净。
方法控制不证明抽样组件存在竞态。</x:v>
      </x:c>
      <x:c r="G206" s="195" t="str">
        <x:v>not_testable</x:v>
      </x:c>
      <x:c r="H20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6" s="191" t="str">
        <x:f>IFERROR(HYPERLINK("file:///D:/openHarmonyScanner/outputs/01a14d00-bc78-7ac2-9520-210d4b92b1ac/poc/index.json","无专用 PoC"),"无专用 PoC")</x:f>
        <x:v>无专用 PoC</x:v>
      </x:c>
    </x:row>
    <x:row r="207" ht="58" customHeight="1">
      <x:c r="A207" s="175" t="str">
        <x:v>arkcompiler_taihe_ffi_gen
openharmony/arkcompiler_taihe_ffi_gen
CR-0202</x:v>
      </x:c>
      <x:c r="B207" s="176" t="str">
        <x:v>ohscanner.cpp.shared_ptr_race</x:v>
      </x:c>
      <x:c r="C207" s="196" t="str">
        <x:v>高优先级</x:v>
      </x:c>
      <x:c r="D207" s="176" t="str">
        <x:v>ohcpp-shared-ptr-race-candidate-001 / CWE-362</x:v>
      </x:c>
      <x:c r="E207" s="176" t="str">
        <x:v>test/ani_image/author/src/ohos.multimedia.image.image.impl.cpp:105
符号：m_pdata</x:v>
      </x:c>
      <x:c r="F207" s="176" t="str">
        <x:v>未运行目标派生 harness；Docker 内通用 TSan 正控 3/3 稳定检出数据竞争，原子固定对照 3/3 干净。
方法控制不证明抽样组件存在竞态。</x:v>
      </x:c>
      <x:c r="G207" s="195" t="str">
        <x:v>not_testable</x:v>
      </x:c>
      <x:c r="H20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7" s="191" t="str">
        <x:f>IFERROR(HYPERLINK("file:///D:/openHarmonyScanner/outputs/01a14d00-bc78-7ac2-9520-210d4b92b1ac/poc/index.json","无专用 PoC"),"无专用 PoC")</x:f>
        <x:v>无专用 PoC</x:v>
      </x:c>
    </x:row>
    <x:row r="208" ht="58" customHeight="1">
      <x:c r="A208" s="175" t="str">
        <x:v>arkcompiler_taihe_ffi_gen
openharmony/arkcompiler_taihe_ffi_gen
CR-0203</x:v>
      </x:c>
      <x:c r="B208" s="176" t="str">
        <x:v>ohscanner.cpp.shared_ptr_race</x:v>
      </x:c>
      <x:c r="C208" s="196" t="str">
        <x:v>高优先级</x:v>
      </x:c>
      <x:c r="D208" s="176" t="str">
        <x:v>ohcpp-shared-ptr-race-candidate-001 / CWE-362</x:v>
      </x:c>
      <x:c r="E208" s="176" t="str">
        <x:v>test/ani_image/author/src/ohos.multimedia.image.image.impl.cpp:110
符号：m_pdata</x:v>
      </x:c>
      <x:c r="F208" s="176" t="str">
        <x:v>未运行目标派生 harness；Docker 内通用 TSan 正控 3/3 稳定检出数据竞争，原子固定对照 3/3 干净。
方法控制不证明抽样组件存在竞态。</x:v>
      </x:c>
      <x:c r="G208" s="195" t="str">
        <x:v>not_testable</x:v>
      </x:c>
      <x:c r="H20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8" s="191" t="str">
        <x:f>IFERROR(HYPERLINK("file:///D:/openHarmonyScanner/outputs/01a14d00-bc78-7ac2-9520-210d4b92b1ac/poc/index.json","无专用 PoC"),"无专用 PoC")</x:f>
        <x:v>无专用 PoC</x:v>
      </x:c>
    </x:row>
    <x:row r="209" ht="58" customHeight="1">
      <x:c r="A209" s="175" t="str">
        <x:v>arkcompiler_taihe_ffi_gen
openharmony/arkcompiler_taihe_ffi_gen
CR-0204</x:v>
      </x:c>
      <x:c r="B209" s="176" t="str">
        <x:v>ohscanner.cpp.shared_ptr_race</x:v>
      </x:c>
      <x:c r="C209" s="196" t="str">
        <x:v>高优先级</x:v>
      </x:c>
      <x:c r="D209" s="176" t="str">
        <x:v>ohcpp-shared-ptr-race-candidate-001 / CWE-362</x:v>
      </x:c>
      <x:c r="E209" s="176" t="str">
        <x:v>test/ani_image/author/src/ohos.multimedia.image.image.impl.cpp:115
符号：m_pdata</x:v>
      </x:c>
      <x:c r="F209" s="176" t="str">
        <x:v>未运行目标派生 harness；Docker 内通用 TSan 正控 3/3 稳定检出数据竞争，原子固定对照 3/3 干净。
方法控制不证明抽样组件存在竞态。</x:v>
      </x:c>
      <x:c r="G209" s="195" t="str">
        <x:v>not_testable</x:v>
      </x:c>
      <x:c r="H20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09" s="191" t="str">
        <x:f>IFERROR(HYPERLINK("file:///D:/openHarmonyScanner/outputs/01a14d00-bc78-7ac2-9520-210d4b92b1ac/poc/index.json","无专用 PoC"),"无专用 PoC")</x:f>
        <x:v>无专用 PoC</x:v>
      </x:c>
    </x:row>
    <x:row r="210" ht="58" customHeight="1">
      <x:c r="A210" s="175" t="str">
        <x:v>arkcompiler_taihe_ffi_gen
openharmony/arkcompiler_taihe_ffi_gen
CR-0205</x:v>
      </x:c>
      <x:c r="B210" s="176" t="str">
        <x:v>ohscanner.cpp.shared_ptr_race</x:v>
      </x:c>
      <x:c r="C210" s="196" t="str">
        <x:v>高优先级</x:v>
      </x:c>
      <x:c r="D210" s="176" t="str">
        <x:v>ohcpp-shared-ptr-race-candidate-001 / CWE-362</x:v>
      </x:c>
      <x:c r="E210" s="176" t="str">
        <x:v>test/ani_image/author/src/ohos.multimedia.image.image.impl.cpp:121
符号：m_pdata</x:v>
      </x:c>
      <x:c r="F210" s="176" t="str">
        <x:v>未运行目标派生 harness；Docker 内通用 TSan 正控 3/3 稳定检出数据竞争，原子固定对照 3/3 干净。
方法控制不证明抽样组件存在竞态。</x:v>
      </x:c>
      <x:c r="G210" s="195" t="str">
        <x:v>not_testable</x:v>
      </x:c>
      <x:c r="H21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0" s="191" t="str">
        <x:f>IFERROR(HYPERLINK("file:///D:/openHarmonyScanner/outputs/01a14d00-bc78-7ac2-9520-210d4b92b1ac/poc/index.json","无专用 PoC"),"无专用 PoC")</x:f>
        <x:v>无专用 PoC</x:v>
      </x:c>
    </x:row>
    <x:row r="211" ht="58" customHeight="1">
      <x:c r="A211" s="175" t="str">
        <x:v>arkcompiler_taihe_ffi_gen
openharmony/arkcompiler_taihe_ffi_gen
CR-0206</x:v>
      </x:c>
      <x:c r="B211" s="176" t="str">
        <x:v>ohscanner.cpp.shared_ptr_race</x:v>
      </x:c>
      <x:c r="C211" s="196" t="str">
        <x:v>高优先级</x:v>
      </x:c>
      <x:c r="D211" s="176" t="str">
        <x:v>ohcpp-shared-ptr-race-candidate-001 / CWE-362</x:v>
      </x:c>
      <x:c r="E211" s="176" t="str">
        <x:v>test/ani_image/author/src/ohos.multimedia.image.image.impl.cpp:127
符号：m_pdata</x:v>
      </x:c>
      <x:c r="F211" s="176" t="str">
        <x:v>未运行目标派生 harness；Docker 内通用 TSan 正控 3/3 稳定检出数据竞争，原子固定对照 3/3 干净。
方法控制不证明抽样组件存在竞态。</x:v>
      </x:c>
      <x:c r="G211" s="195" t="str">
        <x:v>not_testable</x:v>
      </x:c>
      <x:c r="H21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1" s="191" t="str">
        <x:f>IFERROR(HYPERLINK("file:///D:/openHarmonyScanner/outputs/01a14d00-bc78-7ac2-9520-210d4b92b1ac/poc/index.json","无专用 PoC"),"无专用 PoC")</x:f>
        <x:v>无专用 PoC</x:v>
      </x:c>
    </x:row>
    <x:row r="212" ht="58" customHeight="1">
      <x:c r="A212" s="175" t="str">
        <x:v>arkcompiler_taihe_ffi_gen
openharmony/arkcompiler_taihe_ffi_gen
CR-0207</x:v>
      </x:c>
      <x:c r="B212" s="176" t="str">
        <x:v>ohscanner.cpp.shared_ptr_race</x:v>
      </x:c>
      <x:c r="C212" s="196" t="str">
        <x:v>高优先级</x:v>
      </x:c>
      <x:c r="D212" s="176" t="str">
        <x:v>ohcpp-shared-ptr-race-candidate-001 / CWE-362</x:v>
      </x:c>
      <x:c r="E212" s="176" t="str">
        <x:v>test/ani_image/author/src/ohos.multimedia.image.image.impl.cpp:135
符号：m_pdata</x:v>
      </x:c>
      <x:c r="F212" s="176" t="str">
        <x:v>未运行目标派生 harness；Docker 内通用 TSan 正控 3/3 稳定检出数据竞争，原子固定对照 3/3 干净。
方法控制不证明抽样组件存在竞态。</x:v>
      </x:c>
      <x:c r="G212" s="195" t="str">
        <x:v>not_testable</x:v>
      </x:c>
      <x:c r="H21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2" s="191" t="str">
        <x:f>IFERROR(HYPERLINK("file:///D:/openHarmonyScanner/outputs/01a14d00-bc78-7ac2-9520-210d4b92b1ac/poc/index.json","无专用 PoC"),"无专用 PoC")</x:f>
        <x:v>无专用 PoC</x:v>
      </x:c>
    </x:row>
    <x:row r="213" ht="58" customHeight="1">
      <x:c r="A213" s="175" t="str">
        <x:v>arkcompiler_taihe_ffi_gen
openharmony/arkcompiler_taihe_ffi_gen
CR-0208</x:v>
      </x:c>
      <x:c r="B213" s="176" t="str">
        <x:v>ohscanner.cpp.shared_ptr_race</x:v>
      </x:c>
      <x:c r="C213" s="196" t="str">
        <x:v>高优先级</x:v>
      </x:c>
      <x:c r="D213" s="176" t="str">
        <x:v>ohcpp-shared-ptr-race-candidate-001 / CWE-362</x:v>
      </x:c>
      <x:c r="E213" s="176" t="str">
        <x:v>test/ani_image/author/src/ohos.multimedia.image.image.impl.cpp:141
符号：m_pdata</x:v>
      </x:c>
      <x:c r="F213" s="176" t="str">
        <x:v>未运行目标派生 harness；Docker 内通用 TSan 正控 3/3 稳定检出数据竞争，原子固定对照 3/3 干净。
方法控制不证明抽样组件存在竞态。</x:v>
      </x:c>
      <x:c r="G213" s="195" t="str">
        <x:v>not_testable</x:v>
      </x:c>
      <x:c r="H21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3" s="191" t="str">
        <x:f>IFERROR(HYPERLINK("file:///D:/openHarmonyScanner/outputs/01a14d00-bc78-7ac2-9520-210d4b92b1ac/poc/index.json","无专用 PoC"),"无专用 PoC")</x:f>
        <x:v>无专用 PoC</x:v>
      </x:c>
    </x:row>
    <x:row r="214" ht="58" customHeight="1">
      <x:c r="A214" s="175" t="str">
        <x:v>arkcompiler_taihe_ffi_gen
openharmony/arkcompiler_taihe_ffi_gen
CR-0209</x:v>
      </x:c>
      <x:c r="B214" s="176" t="str">
        <x:v>ohscanner.cpp.shared_ptr_race</x:v>
      </x:c>
      <x:c r="C214" s="196" t="str">
        <x:v>高优先级</x:v>
      </x:c>
      <x:c r="D214" s="176" t="str">
        <x:v>ohcpp-shared-ptr-race-candidate-001 / CWE-362</x:v>
      </x:c>
      <x:c r="E214" s="176" t="str">
        <x:v>test/ani_image/author/src/ohos.multimedia.image.image.impl.cpp:147
符号：m_pdata</x:v>
      </x:c>
      <x:c r="F214" s="176" t="str">
        <x:v>未运行目标派生 harness；Docker 内通用 TSan 正控 3/3 稳定检出数据竞争，原子固定对照 3/3 干净。
方法控制不证明抽样组件存在竞态。</x:v>
      </x:c>
      <x:c r="G214" s="195" t="str">
        <x:v>not_testable</x:v>
      </x:c>
      <x:c r="H21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4" s="191" t="str">
        <x:f>IFERROR(HYPERLINK("file:///D:/openHarmonyScanner/outputs/01a14d00-bc78-7ac2-9520-210d4b92b1ac/poc/index.json","无专用 PoC"),"无专用 PoC")</x:f>
        <x:v>无专用 PoC</x:v>
      </x:c>
    </x:row>
    <x:row r="215" ht="58" customHeight="1">
      <x:c r="A215" s="175" t="str">
        <x:v>arkcompiler_taihe_ffi_gen
openharmony/arkcompiler_taihe_ffi_gen
CR-0210</x:v>
      </x:c>
      <x:c r="B215" s="176" t="str">
        <x:v>ohscanner.cpp.shared_ptr_race</x:v>
      </x:c>
      <x:c r="C215" s="196" t="str">
        <x:v>高优先级</x:v>
      </x:c>
      <x:c r="D215" s="176" t="str">
        <x:v>ohcpp-shared-ptr-race-candidate-001 / CWE-362</x:v>
      </x:c>
      <x:c r="E215" s="176" t="str">
        <x:v>test/ani_image/author/src/ohos.multimedia.image.image.impl.cpp:172
符号：m_pdata</x:v>
      </x:c>
      <x:c r="F215" s="176" t="str">
        <x:v>未运行目标派生 harness；Docker 内通用 TSan 正控 3/3 稳定检出数据竞争，原子固定对照 3/3 干净。
方法控制不证明抽样组件存在竞态。</x:v>
      </x:c>
      <x:c r="G215" s="195" t="str">
        <x:v>not_testable</x:v>
      </x:c>
      <x:c r="H21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5" s="191" t="str">
        <x:f>IFERROR(HYPERLINK("file:///D:/openHarmonyScanner/outputs/01a14d00-bc78-7ac2-9520-210d4b92b1ac/poc/index.json","无专用 PoC"),"无专用 PoC")</x:f>
        <x:v>无专用 PoC</x:v>
      </x:c>
    </x:row>
    <x:row r="216" ht="58" customHeight="1">
      <x:c r="A216" s="175" t="str">
        <x:v>arkcompiler_taihe_ffi_gen
openharmony/arkcompiler_taihe_ffi_gen
CR-0211</x:v>
      </x:c>
      <x:c r="B216" s="176" t="str">
        <x:v>ohscanner.cpp.shared_ptr_race</x:v>
      </x:c>
      <x:c r="C216" s="196" t="str">
        <x:v>高优先级</x:v>
      </x:c>
      <x:c r="D216" s="176" t="str">
        <x:v>ohcpp-shared-ptr-race-candidate-001 / CWE-362</x:v>
      </x:c>
      <x:c r="E216" s="176" t="str">
        <x:v>test/ani_image/author/src/ohos.multimedia.image.image.impl.cpp:180
符号：m_pdata</x:v>
      </x:c>
      <x:c r="F216" s="176" t="str">
        <x:v>未运行目标派生 harness；Docker 内通用 TSan 正控 3/3 稳定检出数据竞争，原子固定对照 3/3 干净。
方法控制不证明抽样组件存在竞态。</x:v>
      </x:c>
      <x:c r="G216" s="195" t="str">
        <x:v>not_testable</x:v>
      </x:c>
      <x:c r="H21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6" s="191" t="str">
        <x:f>IFERROR(HYPERLINK("file:///D:/openHarmonyScanner/outputs/01a14d00-bc78-7ac2-9520-210d4b92b1ac/poc/index.json","无专用 PoC"),"无专用 PoC")</x:f>
        <x:v>无专用 PoC</x:v>
      </x:c>
    </x:row>
    <x:row r="217" ht="58" customHeight="1">
      <x:c r="A217" s="175" t="str">
        <x:v>arkcompiler_taihe_ffi_gen
openharmony/arkcompiler_taihe_ffi_gen
CR-0212</x:v>
      </x:c>
      <x:c r="B217" s="176" t="str">
        <x:v>ohscanner.cpp.shared_ptr_race</x:v>
      </x:c>
      <x:c r="C217" s="196" t="str">
        <x:v>高优先级</x:v>
      </x:c>
      <x:c r="D217" s="176" t="str">
        <x:v>ohcpp-shared-ptr-race-candidate-001 / CWE-362</x:v>
      </x:c>
      <x:c r="E217" s="176" t="str">
        <x:v>test/ani_image/author/src/ohos.multimedia.image.image.impl.cpp:232
符号：m_pdata</x:v>
      </x:c>
      <x:c r="F217" s="176" t="str">
        <x:v>未运行目标派生 harness；Docker 内通用 TSan 正控 3/3 稳定检出数据竞争，原子固定对照 3/3 干净。
方法控制不证明抽样组件存在竞态。</x:v>
      </x:c>
      <x:c r="G217" s="195" t="str">
        <x:v>not_testable</x:v>
      </x:c>
      <x:c r="H21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7" s="191" t="str">
        <x:f>IFERROR(HYPERLINK("file:///D:/openHarmonyScanner/outputs/01a14d00-bc78-7ac2-9520-210d4b92b1ac/poc/index.json","无专用 PoC"),"无专用 PoC")</x:f>
        <x:v>无专用 PoC</x:v>
      </x:c>
    </x:row>
    <x:row r="218" ht="58" customHeight="1">
      <x:c r="A218" s="175" t="str">
        <x:v>arkcompiler_taihe_ffi_gen
openharmony/arkcompiler_taihe_ffi_gen
CR-0213</x:v>
      </x:c>
      <x:c r="B218" s="176" t="str">
        <x:v>ohscanner.cpp.shared_ptr_race</x:v>
      </x:c>
      <x:c r="C218" s="196" t="str">
        <x:v>高优先级</x:v>
      </x:c>
      <x:c r="D218" s="176" t="str">
        <x:v>ohcpp-shared-ptr-race-candidate-001 / CWE-362</x:v>
      </x:c>
      <x:c r="E218" s="176" t="str">
        <x:v>test/ra_napi_image/author/include/image_source_taihe.h:57
符号：navIncPixelMap_</x:v>
      </x:c>
      <x:c r="F218" s="176" t="str">
        <x:v>未运行目标派生 harness；Docker 内通用 TSan 正控 3/3 稳定检出数据竞争，原子固定对照 3/3 干净。
方法控制不证明抽样组件存在竞态。</x:v>
      </x:c>
      <x:c r="G218" s="195" t="str">
        <x:v>not_testable</x:v>
      </x:c>
      <x:c r="H21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18" s="191" t="str">
        <x:f>IFERROR(HYPERLINK("file:///D:/openHarmonyScanner/outputs/01a14d00-bc78-7ac2-9520-210d4b92b1ac/poc/index.json","无专用 PoC"),"无专用 PoC")</x:f>
        <x:v>无专用 PoC</x:v>
      </x:c>
    </x:row>
    <x:row r="219" ht="58" customHeight="1">
      <x:c r="A219" s="175" t="str">
        <x:v>systemabilitymgr_samgr
openharmony/systemabilitymgr_samgr
CR-0214</x:v>
      </x:c>
      <x:c r="B219" s="176" t="str">
        <x:v>ohscanner.interface.ipc</x:v>
      </x:c>
      <x:c r="C219" s="182" t="str">
        <x:v>普通优先级</x:v>
      </x:c>
      <x:c r="D219" s="176" t="str">
        <x:v>ipc.relay.descriptor-boundary / CWE-441</x:v>
      </x:c>
      <x:c r="E219" s="176" t="str">
        <x:v>frameworks/native/source/system_ability_load_callback_stub.cpp:36
符号：SystemAbilityLoadCallbackStub::OnRemoteRequest</x:v>
      </x:c>
      <x:c r="F219" s="176" t="str">
        <x:v>未运行目标派生 harness；通用 sanitizer 控制仅验证方法可用，不能替代产品入口、权限边界和 CIA 影响证明。</x:v>
      </x:c>
      <x:c r="G219" s="195" t="str">
        <x:v>not_testable</x:v>
      </x:c>
      <x:c r="H219" s="176" t="str">
        <x:v>1) 补充 descriptor 解析边界、输入长度与目标缓冲区容量的完整数据流
2) 证明真实 IPC 入口、可控触发条件和具体 CIA 影响</x:v>
      </x:c>
      <x:c r="I219" s="191" t="str">
        <x:f>IFERROR(HYPERLINK("file:///D:/openHarmonyScanner/outputs/01a14d00-bc78-7ac2-9520-210d4b92b1ac/poc/index.json","无专用 PoC"),"无专用 PoC")</x:f>
        <x:v>无专用 PoC</x:v>
      </x:c>
    </x:row>
    <x:row r="220" ht="58" customHeight="1">
      <x:c r="A220" s="175" t="str">
        <x:v>systemabilitymgr_samgr
openharmony/systemabilitymgr_samgr
CR-0215</x:v>
      </x:c>
      <x:c r="B220" s="176" t="str">
        <x:v>ohscanner.interface.ipc</x:v>
      </x:c>
      <x:c r="C220" s="182" t="str">
        <x:v>普通优先级</x:v>
      </x:c>
      <x:c r="D220" s="176" t="str">
        <x:v>ipc.relay.descriptor-boundary / CWE-441</x:v>
      </x:c>
      <x:c r="E220" s="176" t="str">
        <x:v>frameworks/native/source/system_ability_status_change_stub.cpp:46
符号：SystemAbilityStatusChangeStub::OnRemoteRequest</x:v>
      </x:c>
      <x:c r="F220" s="176" t="str">
        <x:v>未运行目标派生 harness；通用 sanitizer 控制仅验证方法可用，不能替代产品入口、权限边界和 CIA 影响证明。</x:v>
      </x:c>
      <x:c r="G220" s="195" t="str">
        <x:v>not_testable</x:v>
      </x:c>
      <x:c r="H220" s="176" t="str">
        <x:v>1) 补充 descriptor 解析边界、输入长度与目标缓冲区容量的完整数据流
2) 证明真实 IPC 入口、可控触发条件和具体 CIA 影响</x:v>
      </x:c>
      <x:c r="I220" s="191" t="str">
        <x:f>IFERROR(HYPERLINK("file:///D:/openHarmonyScanner/outputs/01a14d00-bc78-7ac2-9520-210d4b92b1ac/poc/index.json","无专用 PoC"),"无专用 PoC")</x:f>
        <x:v>无专用 PoC</x:v>
      </x:c>
    </x:row>
    <x:row r="221" ht="58" customHeight="1">
      <x:c r="A221" s="175" t="str">
        <x:v>systemabilitymgr_samgr
openharmony/systemabilitymgr_samgr
CR-0216</x:v>
      </x:c>
      <x:c r="B221" s="176" t="str">
        <x:v>ohscanner.interface.ipc</x:v>
      </x:c>
      <x:c r="C221" s="182" t="str">
        <x:v>普通优先级</x:v>
      </x:c>
      <x:c r="D221" s="176" t="str">
        <x:v>ipc.relay.descriptor-boundary / CWE-441</x:v>
      </x:c>
      <x:c r="E221" s="176" t="str">
        <x:v>frameworks/native/source/system_process_status_change_stub.cpp:43
符号：SystemProcessStatusChangeStub::OnRemoteRequest</x:v>
      </x:c>
      <x:c r="F221" s="176" t="str">
        <x:v>未运行目标派生 harness；通用 sanitizer 控制仅验证方法可用，不能替代产品入口、权限边界和 CIA 影响证明。</x:v>
      </x:c>
      <x:c r="G221" s="195" t="str">
        <x:v>not_testable</x:v>
      </x:c>
      <x:c r="H221" s="176" t="str">
        <x:v>1) 补充 descriptor 解析边界、输入长度与目标缓冲区容量的完整数据流
2) 证明真实 IPC 入口、可控触发条件和具体 CIA 影响</x:v>
      </x:c>
      <x:c r="I221" s="191" t="str">
        <x:f>IFERROR(HYPERLINK("file:///D:/openHarmonyScanner/outputs/01a14d00-bc78-7ac2-9520-210d4b92b1ac/poc/index.json","无专用 PoC"),"无专用 PoC")</x:f>
        <x:v>无专用 PoC</x:v>
      </x:c>
    </x:row>
    <x:row r="222" ht="58" customHeight="1">
      <x:c r="A222" s="175" t="str">
        <x:v>systemabilitymgr_samgr
openharmony/systemabilitymgr_samgr
CR-0217</x:v>
      </x:c>
      <x:c r="B222" s="176" t="str">
        <x:v>ohscanner.interface.ipc</x:v>
      </x:c>
      <x:c r="C222" s="182" t="str">
        <x:v>普通优先级</x:v>
      </x:c>
      <x:c r="D222" s="176" t="str">
        <x:v>ipc.relay.descriptor-boundary / CWE-441</x:v>
      </x:c>
      <x:c r="E222" s="176" t="str">
        <x:v>services/samgr/native/source/system_ability_manager_stub.cpp:298
符号：SystemAbilityManagerStub::OnRemoteRequest</x:v>
      </x:c>
      <x:c r="F222" s="176" t="str">
        <x:v>未运行目标派生 harness；通用 sanitizer 控制仅验证方法可用，不能替代产品入口、权限边界和 CIA 影响证明。</x:v>
      </x:c>
      <x:c r="G222" s="195" t="str">
        <x:v>not_testable</x:v>
      </x:c>
      <x:c r="H222" s="176" t="str">
        <x:v>1) 补充 descriptor 解析边界、输入长度与目标缓冲区容量的完整数据流
2) 证明真实 IPC 入口、可控触发条件和具体 CIA 影响</x:v>
      </x:c>
      <x:c r="I222" s="191" t="str">
        <x:f>IFERROR(HYPERLINK("file:///D:/openHarmonyScanner/outputs/01a14d00-bc78-7ac2-9520-210d4b92b1ac/poc/index.json","无专用 PoC"),"无专用 PoC")</x:f>
        <x:v>无专用 PoC</x:v>
      </x:c>
    </x:row>
    <x:row r="223" ht="58" customHeight="1">
      <x:c r="A223" s="175" t="str">
        <x:v>systemabilitymgr_samgr
openharmony/systemabilitymgr_samgr
CR-0218</x:v>
      </x:c>
      <x:c r="B223" s="176" t="str">
        <x:v>ohscanner.interface.ipc</x:v>
      </x:c>
      <x:c r="C223" s="182" t="str">
        <x:v>普通优先级</x:v>
      </x:c>
      <x:c r="D223" s="176" t="str">
        <x:v>ipc.relay.descriptor-boundary / CWE-441</x:v>
      </x:c>
      <x:c r="E223" s="176" t="str">
        <x:v>services/samgr/native/source/system_ability_manager_stub.cpp:302
符号：SystemAbilityManagerStub::OnRemoteRequest</x:v>
      </x:c>
      <x:c r="F223" s="176" t="str">
        <x:v>未运行目标派生 harness；通用 sanitizer 控制仅验证方法可用，不能替代产品入口、权限边界和 CIA 影响证明。</x:v>
      </x:c>
      <x:c r="G223" s="195" t="str">
        <x:v>not_testable</x:v>
      </x:c>
      <x:c r="H223" s="176" t="str">
        <x:v>1) 补充 descriptor 解析边界、输入长度与目标缓冲区容量的完整数据流
2) 证明真实 IPC 入口、可控触发条件和具体 CIA 影响</x:v>
      </x:c>
      <x:c r="I223" s="191" t="str">
        <x:f>IFERROR(HYPERLINK("file:///D:/openHarmonyScanner/outputs/01a14d00-bc78-7ac2-9520-210d4b92b1ac/poc/index.json","无专用 PoC"),"无专用 PoC")</x:f>
        <x:v>无专用 PoC</x:v>
      </x:c>
    </x:row>
    <x:row r="224" ht="58" customHeight="1">
      <x:c r="A224" s="175" t="str">
        <x:v>systemabilitymgr_samgr
openharmony/systemabilitymgr_samgr
CR-0219</x:v>
      </x:c>
      <x:c r="B224" s="176" t="str">
        <x:v>ohscanner.interface.ipc</x:v>
      </x:c>
      <x:c r="C224" s="196" t="str">
        <x:v>高优先级</x:v>
      </x:c>
      <x:c r="D224" s="176" t="str">
        <x:v>ipc.capability.export / CWE-926（可能后果 CWE-668）</x:v>
      </x:c>
      <x:c r="E224" s="176" t="str">
        <x:v>services/samgr/native/source/system_ability_manager_stub.cpp:464
符号：SystemAbilityManagerStub::CheckRemtSystemAbilityInner</x:v>
      </x:c>
      <x:c r="F224" s="176" t="str">
        <x:v>未运行目标派生 harness；Docker 环境内完成 guard dominance 静态反证。
可见权限/远端/用户检查支配导出，未复现越权能力泄露。</x:v>
      </x:c>
      <x:c r="G224" s="197" t="str">
        <x:v>not_reproduced</x:v>
      </x:c>
      <x:c r="H224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24" s="191" t="str">
        <x:f>IFERROR(HYPERLINK("file:///D:/openHarmonyScanner/outputs/01a14d00-bc78-7ac2-9520-210d4b92b1ac/poc/index.json","无专用 PoC"),"无专用 PoC")</x:f>
        <x:v>无专用 PoC</x:v>
      </x:c>
    </x:row>
    <x:row r="225" ht="58" customHeight="1">
      <x:c r="A225" s="175" t="str">
        <x:v>systemabilitymgr_samgr
openharmony/systemabilitymgr_samgr
CR-0220</x:v>
      </x:c>
      <x:c r="B225" s="176" t="str">
        <x:v>ohscanner.interface.ipc</x:v>
      </x:c>
      <x:c r="C225" s="196" t="str">
        <x:v>高优先级</x:v>
      </x:c>
      <x:c r="D225" s="176" t="str">
        <x:v>ipc.capability.export / CWE-926（可能后果 CWE-668）</x:v>
      </x:c>
      <x:c r="E225" s="176" t="str">
        <x:v>services/samgr/native/source/system_ability_manager_stub.cpp:551
符号：SystemAbilityManagerStub::CheckSystemAbilityImmeInner</x:v>
      </x:c>
      <x:c r="F225" s="176" t="str">
        <x:v>未运行目标派生 harness；Docker 环境内完成 guard dominance 静态反证。
可见权限/远端/用户检查支配导出，未复现越权能力泄露。</x:v>
      </x:c>
      <x:c r="G225" s="197" t="str">
        <x:v>not_reproduced</x:v>
      </x:c>
      <x:c r="H225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25" s="191" t="str">
        <x:f>IFERROR(HYPERLINK("file:///D:/openHarmonyScanner/outputs/01a14d00-bc78-7ac2-9520-210d4b92b1ac/poc/index.json","无专用 PoC"),"无专用 PoC")</x:f>
        <x:v>无专用 PoC</x:v>
      </x:c>
    </x:row>
    <x:row r="226" ht="58" customHeight="1">
      <x:c r="A226" s="175" t="str">
        <x:v>systemabilitymgr_samgr
openharmony/systemabilitymgr_samgr
CR-0221</x:v>
      </x:c>
      <x:c r="B226" s="176" t="str">
        <x:v>ohscanner.interface.ipc</x:v>
      </x:c>
      <x:c r="C226" s="196" t="str">
        <x:v>高优先级</x:v>
      </x:c>
      <x:c r="D226" s="176" t="str">
        <x:v>ipc.capability.export / CWE-926（可能后果 CWE-668）</x:v>
      </x:c>
      <x:c r="E226" s="176" t="str">
        <x:v>services/samgr/native/source/system_ability_manager_stub.cpp:668
符号：SystemAbilityManagerStub::GetSystemAbilityInner</x:v>
      </x:c>
      <x:c r="F226" s="176" t="str">
        <x:v>未运行目标派生 harness；Docker 环境内完成 guard dominance 静态反证。
可见权限/远端/用户检查支配导出，未复现越权能力泄露。</x:v>
      </x:c>
      <x:c r="G226" s="197" t="str">
        <x:v>not_reproduced</x:v>
      </x:c>
      <x:c r="H226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26" s="191" t="str">
        <x:f>IFERROR(HYPERLINK("file:///D:/openHarmonyScanner/outputs/01a14d00-bc78-7ac2-9520-210d4b92b1ac/poc/index.json","无专用 PoC"),"无专用 PoC")</x:f>
        <x:v>无专用 PoC</x:v>
      </x:c>
    </x:row>
    <x:row r="227" ht="58" customHeight="1">
      <x:c r="A227" s="175" t="str">
        <x:v>systemabilitymgr_samgr
openharmony/systemabilitymgr_samgr
CR-0222</x:v>
      </x:c>
      <x:c r="B227" s="176" t="str">
        <x:v>ohscanner.interface.ipc</x:v>
      </x:c>
      <x:c r="C227" s="196" t="str">
        <x:v>高优先级</x:v>
      </x:c>
      <x:c r="D227" s="176" t="str">
        <x:v>ipc.capability.export / CWE-926（可能后果 CWE-668）</x:v>
      </x:c>
      <x:c r="E227" s="176" t="str">
        <x:v>services/samgr/native/source/system_ability_manager_stub.cpp:706
符号：SystemAbilityManagerStub::CheckSystemAbilityInner</x:v>
      </x:c>
      <x:c r="F227" s="176" t="str">
        <x:v>未运行目标派生 harness；Docker 环境内完成 guard dominance 静态反证。
可见权限/远端/用户检查支配导出，未复现越权能力泄露。</x:v>
      </x:c>
      <x:c r="G227" s="197" t="str">
        <x:v>not_reproduced</x:v>
      </x:c>
      <x:c r="H227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27" s="191" t="str">
        <x:f>IFERROR(HYPERLINK("file:///D:/openHarmonyScanner/outputs/01a14d00-bc78-7ac2-9520-210d4b92b1ac/poc/index.json","无专用 PoC"),"无专用 PoC")</x:f>
        <x:v>无专用 PoC</x:v>
      </x:c>
    </x:row>
    <x:row r="228" ht="58" customHeight="1">
      <x:c r="A228" s="175" t="str">
        <x:v>systemabilitymgr_samgr
openharmony/systemabilitymgr_samgr
CR-0223</x:v>
      </x:c>
      <x:c r="B228" s="176" t="str">
        <x:v>ohscanner.interface.ipc</x:v>
      </x:c>
      <x:c r="C228" s="196" t="str">
        <x:v>高优先级</x:v>
      </x:c>
      <x:c r="D228" s="176" t="str">
        <x:v>ipc.capability.export / CWE-926（可能后果 CWE-668）</x:v>
      </x:c>
      <x:c r="E228" s="176" t="str">
        <x:v>services/samgr/native/source/system_ability_manager_stub.cpp:1485
符号：SystemAbilityManagerStub::GetExtensionRunningSaListInner</x:v>
      </x:c>
      <x:c r="F228" s="176" t="str">
        <x:v>未运行目标派生 harness；Docker 环境内完成 guard dominance 静态反证。
可见权限/远端/用户检查支配导出，未复现越权能力泄露。</x:v>
      </x:c>
      <x:c r="G228" s="197" t="str">
        <x:v>not_reproduced</x:v>
      </x:c>
      <x:c r="H228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28" s="191" t="str">
        <x:f>IFERROR(HYPERLINK("file:///D:/openHarmonyScanner/outputs/01a14d00-bc78-7ac2-9520-210d4b92b1ac/poc/index.json","无专用 PoC"),"无专用 PoC")</x:f>
        <x:v>无专用 PoC</x:v>
      </x:c>
    </x:row>
    <x:row r="229" ht="58" customHeight="1">
      <x:c r="A229" s="175" t="str">
        <x:v>systemabilitymgr_samgr
openharmony/systemabilitymgr_samgr
CR-0224</x:v>
      </x:c>
      <x:c r="B229" s="176" t="str">
        <x:v>ohscanner.interface.ipc</x:v>
      </x:c>
      <x:c r="C229" s="196" t="str">
        <x:v>高优先级</x:v>
      </x:c>
      <x:c r="D229" s="176" t="str">
        <x:v>ipc.capability.export / CWE-926（可能后果 CWE-668）</x:v>
      </x:c>
      <x:c r="E229" s="176" t="str">
        <x:v>services/samgr/native/source/system_ability_manager_stub.cpp:1692
符号：SystemAbilityManagerStub::GetSystemAbilityWithUserIdInner</x:v>
      </x:c>
      <x:c r="F229" s="176" t="str">
        <x:v>未运行目标派生 harness；Docker 环境内完成 guard dominance 静态反证。
可见权限/远端/用户检查支配导出，未复现越权能力泄露。</x:v>
      </x:c>
      <x:c r="G229" s="197" t="str">
        <x:v>not_reproduced</x:v>
      </x:c>
      <x:c r="H229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29" s="191" t="str">
        <x:f>IFERROR(HYPERLINK("file:///D:/openHarmonyScanner/outputs/01a14d00-bc78-7ac2-9520-210d4b92b1ac/poc/index.json","无专用 PoC"),"无专用 PoC")</x:f>
        <x:v>无专用 PoC</x:v>
      </x:c>
    </x:row>
    <x:row r="230" ht="58" customHeight="1">
      <x:c r="A230" s="175" t="str">
        <x:v>systemabilitymgr_samgr
openharmony/systemabilitymgr_samgr
CR-0225</x:v>
      </x:c>
      <x:c r="B230" s="176" t="str">
        <x:v>ohscanner.interface.ipc</x:v>
      </x:c>
      <x:c r="C230" s="196" t="str">
        <x:v>高优先级</x:v>
      </x:c>
      <x:c r="D230" s="176" t="str">
        <x:v>ipc.capability.export / CWE-926（可能后果 CWE-668）</x:v>
      </x:c>
      <x:c r="E230" s="176" t="str">
        <x:v>services/samgr/native/source/system_ability_manager_stub.cpp:1735
符号：SystemAbilityManagerStub::CheckSystemAbilityWithUserIdInner</x:v>
      </x:c>
      <x:c r="F230" s="176" t="str">
        <x:v>未运行目标派生 harness；Docker 环境内完成 guard dominance 静态反证。
可见权限/远端/用户检查支配导出，未复现越权能力泄露。</x:v>
      </x:c>
      <x:c r="G230" s="197" t="str">
        <x:v>not_reproduced</x:v>
      </x:c>
      <x:c r="H230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30" s="191" t="str">
        <x:f>IFERROR(HYPERLINK("file:///D:/openHarmonyScanner/outputs/01a14d00-bc78-7ac2-9520-210d4b92b1ac/poc/index.json","无专用 PoC"),"无专用 PoC")</x:f>
        <x:v>无专用 PoC</x:v>
      </x:c>
    </x:row>
    <x:row r="231" ht="58" customHeight="1">
      <x:c r="A231" s="175" t="str">
        <x:v>systemabilitymgr_samgr
openharmony/systemabilitymgr_samgr
CR-0226</x:v>
      </x:c>
      <x:c r="B231" s="176" t="str">
        <x:v>ohscanner.interface.ipc</x:v>
      </x:c>
      <x:c r="C231" s="196" t="str">
        <x:v>高优先级</x:v>
      </x:c>
      <x:c r="D231" s="176" t="str">
        <x:v>ipc.capability.export / CWE-926（可能后果 CWE-668）</x:v>
      </x:c>
      <x:c r="E231" s="176" t="str">
        <x:v>services/samgr/native/source/system_ability_manager_stub.cpp:1784
符号：SystemAbilityManagerStub::CheckSystemAbilityByUserIdInner</x:v>
      </x:c>
      <x:c r="F231" s="176" t="str">
        <x:v>未运行目标派生 harness；Docker 环境内完成 guard dominance 静态反证。
可见权限/远端/用户检查支配导出，未复现越权能力泄露。</x:v>
      </x:c>
      <x:c r="G231" s="197" t="str">
        <x:v>not_reproduced</x:v>
      </x:c>
      <x:c r="H231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31" s="191" t="str">
        <x:f>IFERROR(HYPERLINK("file:///D:/openHarmonyScanner/outputs/01a14d00-bc78-7ac2-9520-210d4b92b1ac/poc/index.json","无专用 PoC"),"无专用 PoC")</x:f>
        <x:v>无专用 PoC</x:v>
      </x:c>
    </x:row>
    <x:row r="232" ht="58" customHeight="1">
      <x:c r="A232" s="175" t="str">
        <x:v>systemabilitymgr_samgr
openharmony/systemabilitymgr_samgr
CR-0227</x:v>
      </x:c>
      <x:c r="B232" s="176" t="str">
        <x:v>ohscanner.interface.ipc</x:v>
      </x:c>
      <x:c r="C232" s="196" t="str">
        <x:v>高优先级</x:v>
      </x:c>
      <x:c r="D232" s="176" t="str">
        <x:v>ipc.capability.export / CWE-926（可能后果 CWE-668）</x:v>
      </x:c>
      <x:c r="E232" s="176" t="str">
        <x:v>services/samgr/native/test/unittest/src/system_ability_mgr_proxy_test.cpp:74
符号：OnRemoteRequest</x:v>
      </x:c>
      <x:c r="F232" s="176" t="str">
        <x:v>未运行目标派生 harness；通用 sanitizer 控制仅验证方法可用，不能替代产品入口、权限边界和 CIA 影响证明。</x:v>
      </x:c>
      <x:c r="G232" s="195" t="str">
        <x:v>not_testable</x:v>
      </x:c>
      <x:c r="H232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32" s="191" t="str">
        <x:f>IFERROR(HYPERLINK("file:///D:/openHarmonyScanner/outputs/01a14d00-bc78-7ac2-9520-210d4b92b1ac/poc/index.json","无专用 PoC"),"无专用 PoC")</x:f>
        <x:v>无专用 PoC</x:v>
      </x:c>
    </x:row>
    <x:row r="233" ht="58" customHeight="1">
      <x:c r="A233" s="175" t="str">
        <x:v>systemabilitymgr_samgr
openharmony/systemabilitymgr_samgr
CR-0228</x:v>
      </x:c>
      <x:c r="B233" s="176" t="str">
        <x:v>ohscanner.interface.ipc</x:v>
      </x:c>
      <x:c r="C233" s="182" t="str">
        <x:v>普通优先级</x:v>
      </x:c>
      <x:c r="D233" s="176" t="str">
        <x:v>ipc.relay.descriptor-boundary / CWE-441</x:v>
      </x:c>
      <x:c r="E233" s="176" t="str">
        <x:v>services/samgr/native/test/unittest/src/system_ability_mgr_proxy_test.cpp:74
符号：OnRemoteRequest</x:v>
      </x:c>
      <x:c r="F233" s="176" t="str">
        <x:v>未运行目标派生 harness；通用 sanitizer 控制仅验证方法可用，不能替代产品入口、权限边界和 CIA 影响证明。</x:v>
      </x:c>
      <x:c r="G233" s="195" t="str">
        <x:v>not_testable</x:v>
      </x:c>
      <x:c r="H233" s="176" t="str">
        <x:v>1) 补充 descriptor 解析边界、输入长度与目标缓冲区容量的完整数据流
2) 证明真实 IPC 入口、可控触发条件和具体 CIA 影响</x:v>
      </x:c>
      <x:c r="I233" s="191" t="str">
        <x:f>IFERROR(HYPERLINK("file:///D:/openHarmonyScanner/outputs/01a14d00-bc78-7ac2-9520-210d4b92b1ac/poc/index.json","无专用 PoC"),"无专用 PoC")</x:f>
        <x:v>无专用 PoC</x:v>
      </x:c>
    </x:row>
    <x:row r="234" ht="58" customHeight="1">
      <x:c r="A234" s="175" t="str">
        <x:v>systemabilitymgr_samgr
openharmony/systemabilitymgr_samgr
CR-0229</x:v>
      </x:c>
      <x:c r="B234" s="176" t="str">
        <x:v>ohscanner.interface.ipc</x:v>
      </x:c>
      <x:c r="C234" s="196" t="str">
        <x:v>高优先级</x:v>
      </x:c>
      <x:c r="D234" s="176" t="str">
        <x:v>ipc.capability.export / CWE-926（可能后果 CWE-668）</x:v>
      </x:c>
      <x:c r="E234" s="176" t="str">
        <x:v>services/samgr/native/test/unittest/src/system_ability_mgr_proxy_test.cpp:76
符号：OnRemoteRequest</x:v>
      </x:c>
      <x:c r="F234" s="176" t="str">
        <x:v>未运行目标派生 harness；通用 sanitizer 控制仅验证方法可用，不能替代产品入口、权限边界和 CIA 影响证明。</x:v>
      </x:c>
      <x:c r="G234" s="195" t="str">
        <x:v>not_testable</x:v>
      </x:c>
      <x:c r="H234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234" s="191" t="str">
        <x:f>IFERROR(HYPERLINK("file:///D:/openHarmonyScanner/outputs/01a14d00-bc78-7ac2-9520-210d4b92b1ac/poc/index.json","无专用 PoC"),"无专用 PoC")</x:f>
        <x:v>无专用 PoC</x:v>
      </x:c>
    </x:row>
    <x:row r="235" ht="58" customHeight="1">
      <x:c r="A235" s="175" t="str">
        <x:v>systemabilitymgr_samgr
openharmony/systemabilitymgr_samgr
CR-0230</x:v>
      </x:c>
      <x:c r="B235" s="176" t="str">
        <x:v>ohscanner.interface.ipc</x:v>
      </x:c>
      <x:c r="C235" s="182" t="str">
        <x:v>普通优先级</x:v>
      </x:c>
      <x:c r="D235" s="176" t="str">
        <x:v>ipc.relay.descriptor-boundary / CWE-441</x:v>
      </x:c>
      <x:c r="E235" s="176" t="str">
        <x:v>services/samgr/native/test/unittest/src/system_ability_mgr_proxy_test.cpp:76
符号：OnRemoteRequest</x:v>
      </x:c>
      <x:c r="F235" s="176" t="str">
        <x:v>未运行目标派生 harness；通用 sanitizer 控制仅验证方法可用，不能替代产品入口、权限边界和 CIA 影响证明。</x:v>
      </x:c>
      <x:c r="G235" s="195" t="str">
        <x:v>not_testable</x:v>
      </x:c>
      <x:c r="H235" s="176" t="str">
        <x:v>1) 补充 descriptor 解析边界、输入长度与目标缓冲区容量的完整数据流
2) 证明真实 IPC 入口、可控触发条件和具体 CIA 影响</x:v>
      </x:c>
      <x:c r="I235" s="191" t="str">
        <x:f>IFERROR(HYPERLINK("file:///D:/openHarmonyScanner/outputs/01a14d00-bc78-7ac2-9520-210d4b92b1ac/poc/index.json","无专用 PoC"),"无专用 PoC")</x:f>
        <x:v>无专用 PoC</x:v>
      </x:c>
    </x:row>
    <x:row r="236" ht="58" customHeight="1">
      <x:c r="A236" s="175" t="str">
        <x:v>systemabilitymgr_safwk
openharmony/systemabilitymgr_safwk
CR-0231</x:v>
      </x:c>
      <x:c r="B236" s="176" t="str">
        <x:v>ohscanner.cpp.shared_ptr_race</x:v>
      </x:c>
      <x:c r="C236" s="196" t="str">
        <x:v>高优先级</x:v>
      </x:c>
      <x:c r="D236" s="176" t="str">
        <x:v>ohcpp-shared-ptr-race-candidate-001 / CWE-362</x:v>
      </x:c>
      <x:c r="E236" s="176" t="str">
        <x:v>interfaces/innerkits/safwk/expire_lru_cache.h:105
符号：data_</x:v>
      </x:c>
      <x:c r="F236" s="176" t="str">
        <x:v>未运行目标派生 harness；Docker 内通用 TSan 正控 3/3 稳定检出数据竞争，原子固定对照 3/3 干净。
方法控制不证明抽样组件存在竞态。</x:v>
      </x:c>
      <x:c r="G236" s="195" t="str">
        <x:v>not_testable</x:v>
      </x:c>
      <x:c r="H23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36" s="191" t="str">
        <x:f>IFERROR(HYPERLINK("file:///D:/openHarmonyScanner/outputs/01a14d00-bc78-7ac2-9520-210d4b92b1ac/poc/index.json","无专用 PoC"),"无专用 PoC")</x:f>
        <x:v>无专用 PoC</x:v>
      </x:c>
    </x:row>
    <x:row r="237" ht="58" customHeight="1">
      <x:c r="A237" s="175" t="str">
        <x:v>systemabilitymgr_safwk
openharmony/systemabilitymgr_safwk
CR-0232</x:v>
      </x:c>
      <x:c r="B237" s="176" t="str">
        <x:v>ohscanner.cpp.shared_ptr_race</x:v>
      </x:c>
      <x:c r="C237" s="196" t="str">
        <x:v>高优先级</x:v>
      </x:c>
      <x:c r="D237" s="176" t="str">
        <x:v>ohcpp-shared-ptr-race-candidate-001 / CWE-362</x:v>
      </x:c>
      <x:c r="E237" s="176" t="str">
        <x:v>interfaces/innerkits/safwk/expire_lru_cache.h:106
符号：data_</x:v>
      </x:c>
      <x:c r="F237" s="176" t="str">
        <x:v>未运行目标派生 harness；Docker 内通用 TSan 正控 3/3 稳定检出数据竞争，原子固定对照 3/3 干净。
方法控制不证明抽样组件存在竞态。</x:v>
      </x:c>
      <x:c r="G237" s="195" t="str">
        <x:v>not_testable</x:v>
      </x:c>
      <x:c r="H23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37" s="191" t="str">
        <x:f>IFERROR(HYPERLINK("file:///D:/openHarmonyScanner/outputs/01a14d00-bc78-7ac2-9520-210d4b92b1ac/poc/index.json","无专用 PoC"),"无专用 PoC")</x:f>
        <x:v>无专用 PoC</x:v>
      </x:c>
    </x:row>
    <x:row r="238" ht="58" customHeight="1">
      <x:c r="A238" s="175" t="str">
        <x:v>systemabilitymgr_safwk
openharmony/systemabilitymgr_safwk
CR-0233</x:v>
      </x:c>
      <x:c r="B238" s="176" t="str">
        <x:v>ohscanner.cpp.shared_ptr_race</x:v>
      </x:c>
      <x:c r="C238" s="196" t="str">
        <x:v>高优先级</x:v>
      </x:c>
      <x:c r="D238" s="176" t="str">
        <x:v>ohcpp-shared-ptr-race-candidate-001 / CWE-362</x:v>
      </x:c>
      <x:c r="E238" s="176" t="str">
        <x:v>interfaces/innerkits/safwk/expire_lru_cache.h:109
符号：data_</x:v>
      </x:c>
      <x:c r="F238" s="176" t="str">
        <x:v>未运行目标派生 harness；Docker 内通用 TSan 正控 3/3 稳定检出数据竞争，原子固定对照 3/3 干净。
方法控制不证明抽样组件存在竞态。</x:v>
      </x:c>
      <x:c r="G238" s="195" t="str">
        <x:v>not_testable</x:v>
      </x:c>
      <x:c r="H23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38" s="191" t="str">
        <x:f>IFERROR(HYPERLINK("file:///D:/openHarmonyScanner/outputs/01a14d00-bc78-7ac2-9520-210d4b92b1ac/poc/index.json","无专用 PoC"),"无专用 PoC")</x:f>
        <x:v>无专用 PoC</x:v>
      </x:c>
    </x:row>
    <x:row r="239" ht="58" customHeight="1">
      <x:c r="A239" s="175" t="str">
        <x:v>systemabilitymgr_safwk
openharmony/systemabilitymgr_safwk
CR-0234</x:v>
      </x:c>
      <x:c r="B239" s="176" t="str">
        <x:v>ohscanner.cpp.shared_ptr_race</x:v>
      </x:c>
      <x:c r="C239" s="196" t="str">
        <x:v>高优先级</x:v>
      </x:c>
      <x:c r="D239" s="176" t="str">
        <x:v>ohcpp-shared-ptr-race-candidate-001 / CWE-362</x:v>
      </x:c>
      <x:c r="E239" s="176" t="str">
        <x:v>interfaces/innerkits/safwk/expire_lru_cache.h:110
符号：data_</x:v>
      </x:c>
      <x:c r="F239" s="176" t="str">
        <x:v>未运行目标派生 harness；Docker 内通用 TSan 正控 3/3 稳定检出数据竞争，原子固定对照 3/3 干净。
方法控制不证明抽样组件存在竞态。</x:v>
      </x:c>
      <x:c r="G239" s="195" t="str">
        <x:v>not_testable</x:v>
      </x:c>
      <x:c r="H23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39" s="191" t="str">
        <x:f>IFERROR(HYPERLINK("file:///D:/openHarmonyScanner/outputs/01a14d00-bc78-7ac2-9520-210d4b92b1ac/poc/index.json","无专用 PoC"),"无专用 PoC")</x:f>
        <x:v>无专用 PoC</x:v>
      </x:c>
    </x:row>
    <x:row r="240" ht="58" customHeight="1">
      <x:c r="A240" s="175" t="str">
        <x:v>systemabilitymgr_safwk
openharmony/systemabilitymgr_safwk
CR-0235</x:v>
      </x:c>
      <x:c r="B240" s="176" t="str">
        <x:v>ohscanner.cpp.shared_ptr_race</x:v>
      </x:c>
      <x:c r="C240" s="196" t="str">
        <x:v>高优先级</x:v>
      </x:c>
      <x:c r="D240" s="176" t="str">
        <x:v>ohcpp-shared-ptr-race-candidate-001 / CWE-362</x:v>
      </x:c>
      <x:c r="E240" s="176" t="str">
        <x:v>interfaces/innerkits/safwk/expire_lru_cache.h:112
符号：data_</x:v>
      </x:c>
      <x:c r="F240" s="176" t="str">
        <x:v>未运行目标派生 harness；Docker 内通用 TSan 正控 3/3 稳定检出数据竞争，原子固定对照 3/3 干净。
方法控制不证明抽样组件存在竞态。</x:v>
      </x:c>
      <x:c r="G240" s="195" t="str">
        <x:v>not_testable</x:v>
      </x:c>
      <x:c r="H24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0" s="191" t="str">
        <x:f>IFERROR(HYPERLINK("file:///D:/openHarmonyScanner/outputs/01a14d00-bc78-7ac2-9520-210d4b92b1ac/poc/index.json","无专用 PoC"),"无专用 PoC")</x:f>
        <x:v>无专用 PoC</x:v>
      </x:c>
    </x:row>
    <x:row r="241" ht="58" customHeight="1">
      <x:c r="A241" s="175" t="str">
        <x:v>systemabilitymgr_safwk
openharmony/systemabilitymgr_safwk
CR-0236</x:v>
      </x:c>
      <x:c r="B241" s="176" t="str">
        <x:v>ohscanner.cpp.shared_ptr_race</x:v>
      </x:c>
      <x:c r="C241" s="196" t="str">
        <x:v>高优先级</x:v>
      </x:c>
      <x:c r="D241" s="176" t="str">
        <x:v>ohcpp-shared-ptr-race-candidate-001 / CWE-362</x:v>
      </x:c>
      <x:c r="E241" s="176" t="str">
        <x:v>interfaces/innerkits/safwk/expire_lru_cache.h:127
符号：data_</x:v>
      </x:c>
      <x:c r="F241" s="176" t="str">
        <x:v>未运行目标派生 harness；Docker 内通用 TSan 正控 3/3 稳定检出数据竞争，原子固定对照 3/3 干净。
方法控制不证明抽样组件存在竞态。</x:v>
      </x:c>
      <x:c r="G241" s="195" t="str">
        <x:v>not_testable</x:v>
      </x:c>
      <x:c r="H24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1" s="191" t="str">
        <x:f>IFERROR(HYPERLINK("file:///D:/openHarmonyScanner/outputs/01a14d00-bc78-7ac2-9520-210d4b92b1ac/poc/index.json","无专用 PoC"),"无专用 PoC")</x:f>
        <x:v>无专用 PoC</x:v>
      </x:c>
    </x:row>
    <x:row r="242" ht="58" customHeight="1">
      <x:c r="A242" s="175" t="str">
        <x:v>systemabilitymgr_safwk
openharmony/systemabilitymgr_safwk
CR-0237</x:v>
      </x:c>
      <x:c r="B242" s="176" t="str">
        <x:v>ohscanner.cpp.shared_ptr_race</x:v>
      </x:c>
      <x:c r="C242" s="196" t="str">
        <x:v>高优先级</x:v>
      </x:c>
      <x:c r="D242" s="176" t="str">
        <x:v>ohcpp-shared-ptr-race-candidate-001 / CWE-362</x:v>
      </x:c>
      <x:c r="E242" s="176" t="str">
        <x:v>interfaces/innerkits/safwk/expire_lru_cache.h:133
符号：data_</x:v>
      </x:c>
      <x:c r="F242" s="176" t="str">
        <x:v>未运行目标派生 harness；Docker 内通用 TSan 正控 3/3 稳定检出数据竞争，原子固定对照 3/3 干净。
方法控制不证明抽样组件存在竞态。</x:v>
      </x:c>
      <x:c r="G242" s="195" t="str">
        <x:v>not_testable</x:v>
      </x:c>
      <x:c r="H24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2" s="191" t="str">
        <x:f>IFERROR(HYPERLINK("file:///D:/openHarmonyScanner/outputs/01a14d00-bc78-7ac2-9520-210d4b92b1ac/poc/index.json","无专用 PoC"),"无专用 PoC")</x:f>
        <x:v>无专用 PoC</x:v>
      </x:c>
    </x:row>
    <x:row r="243" ht="58" customHeight="1">
      <x:c r="A243" s="175" t="str">
        <x:v>systemabilitymgr_safwk
openharmony/systemabilitymgr_safwk
CR-0238</x:v>
      </x:c>
      <x:c r="B243" s="176" t="str">
        <x:v>ohscanner.cpp.shared_ptr_race</x:v>
      </x:c>
      <x:c r="C243" s="196" t="str">
        <x:v>高优先级</x:v>
      </x:c>
      <x:c r="D243" s="176" t="str">
        <x:v>ohcpp-shared-ptr-race-candidate-001 / CWE-362</x:v>
      </x:c>
      <x:c r="E243" s="176" t="str">
        <x:v>interfaces/innerkits/safwk/expire_lru_cache.h:142
符号：data_</x:v>
      </x:c>
      <x:c r="F243" s="176" t="str">
        <x:v>未运行目标派生 harness；Docker 内通用 TSan 正控 3/3 稳定检出数据竞争，原子固定对照 3/3 干净。
方法控制不证明抽样组件存在竞态。</x:v>
      </x:c>
      <x:c r="G243" s="195" t="str">
        <x:v>not_testable</x:v>
      </x:c>
      <x:c r="H24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3" s="191" t="str">
        <x:f>IFERROR(HYPERLINK("file:///D:/openHarmonyScanner/outputs/01a14d00-bc78-7ac2-9520-210d4b92b1ac/poc/index.json","无专用 PoC"),"无专用 PoC")</x:f>
        <x:v>无专用 PoC</x:v>
      </x:c>
    </x:row>
    <x:row r="244" ht="58" customHeight="1">
      <x:c r="A244" s="175" t="str">
        <x:v>systemabilitymgr_safwk
openharmony/systemabilitymgr_safwk
CR-0239</x:v>
      </x:c>
      <x:c r="B244" s="176" t="str">
        <x:v>ohscanner.cpp.shared_ptr_race</x:v>
      </x:c>
      <x:c r="C244" s="196" t="str">
        <x:v>高优先级</x:v>
      </x:c>
      <x:c r="D244" s="176" t="str">
        <x:v>ohcpp-shared-ptr-race-candidate-001 / CWE-362</x:v>
      </x:c>
      <x:c r="E244" s="176" t="str">
        <x:v>interfaces/innerkits/safwk/expire_lru_cache.h:143
符号：data_</x:v>
      </x:c>
      <x:c r="F244" s="176" t="str">
        <x:v>未运行目标派生 harness；Docker 内通用 TSan 正控 3/3 稳定检出数据竞争，原子固定对照 3/3 干净。
方法控制不证明抽样组件存在竞态。</x:v>
      </x:c>
      <x:c r="G244" s="195" t="str">
        <x:v>not_testable</x:v>
      </x:c>
      <x:c r="H24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4" s="191" t="str">
        <x:f>IFERROR(HYPERLINK("file:///D:/openHarmonyScanner/outputs/01a14d00-bc78-7ac2-9520-210d4b92b1ac/poc/index.json","无专用 PoC"),"无专用 PoC")</x:f>
        <x:v>无专用 PoC</x:v>
      </x:c>
    </x:row>
    <x:row r="245" ht="58" customHeight="1">
      <x:c r="A245" s="175" t="str">
        <x:v>systemabilitymgr_safwk
openharmony/systemabilitymgr_safwk
CR-0240</x:v>
      </x:c>
      <x:c r="B245" s="176" t="str">
        <x:v>ohscanner.cpp.shared_ptr_race</x:v>
      </x:c>
      <x:c r="C245" s="196" t="str">
        <x:v>高优先级</x:v>
      </x:c>
      <x:c r="D245" s="176" t="str">
        <x:v>ohcpp-shared-ptr-race-candidate-001 / CWE-362</x:v>
      </x:c>
      <x:c r="E245" s="176" t="str">
        <x:v>interfaces/innerkits/safwk/expire_lru_cache.h:149
符号：data_</x:v>
      </x:c>
      <x:c r="F245" s="176" t="str">
        <x:v>未运行目标派生 harness；Docker 内通用 TSan 正控 3/3 稳定检出数据竞争，原子固定对照 3/3 干净。
方法控制不证明抽样组件存在竞态。</x:v>
      </x:c>
      <x:c r="G245" s="195" t="str">
        <x:v>not_testable</x:v>
      </x:c>
      <x:c r="H24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5" s="191" t="str">
        <x:f>IFERROR(HYPERLINK("file:///D:/openHarmonyScanner/outputs/01a14d00-bc78-7ac2-9520-210d4b92b1ac/poc/index.json","无专用 PoC"),"无专用 PoC")</x:f>
        <x:v>无专用 PoC</x:v>
      </x:c>
    </x:row>
    <x:row r="246" ht="58" customHeight="1">
      <x:c r="A246" s="175" t="str">
        <x:v>systemabilitymgr_safwk
openharmony/systemabilitymgr_safwk
CR-0241</x:v>
      </x:c>
      <x:c r="B246" s="176" t="str">
        <x:v>ohscanner.cpp.shared_ptr_race</x:v>
      </x:c>
      <x:c r="C246" s="196" t="str">
        <x:v>高优先级</x:v>
      </x:c>
      <x:c r="D246" s="176" t="str">
        <x:v>ohcpp-shared-ptr-race-candidate-001 / CWE-362</x:v>
      </x:c>
      <x:c r="E246" s="176" t="str">
        <x:v>interfaces/innerkits/safwk/expire_lru_cache.h:165
符号：data_</x:v>
      </x:c>
      <x:c r="F246" s="176" t="str">
        <x:v>未运行目标派生 harness；Docker 内通用 TSan 正控 3/3 稳定检出数据竞争，原子固定对照 3/3 干净。
方法控制不证明抽样组件存在竞态。</x:v>
      </x:c>
      <x:c r="G246" s="195" t="str">
        <x:v>not_testable</x:v>
      </x:c>
      <x:c r="H24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6" s="191" t="str">
        <x:f>IFERROR(HYPERLINK("file:///D:/openHarmonyScanner/outputs/01a14d00-bc78-7ac2-9520-210d4b92b1ac/poc/index.json","无专用 PoC"),"无专用 PoC")</x:f>
        <x:v>无专用 PoC</x:v>
      </x:c>
    </x:row>
    <x:row r="247" ht="58" customHeight="1">
      <x:c r="A247" s="175" t="str">
        <x:v>systemabilitymgr_safwk
openharmony/systemabilitymgr_safwk
CR-0242</x:v>
      </x:c>
      <x:c r="B247" s="176" t="str">
        <x:v>ohscanner.cpp.shared_ptr_race</x:v>
      </x:c>
      <x:c r="C247" s="196" t="str">
        <x:v>高优先级</x:v>
      </x:c>
      <x:c r="D247" s="176" t="str">
        <x:v>ohcpp-shared-ptr-race-candidate-001 / CWE-362</x:v>
      </x:c>
      <x:c r="E247" s="176" t="str">
        <x:v>interfaces/innerkits/safwk/expire_lru_cache.h:171
符号：data_</x:v>
      </x:c>
      <x:c r="F247" s="176" t="str">
        <x:v>未运行目标派生 harness；Docker 内通用 TSan 正控 3/3 稳定检出数据竞争，原子固定对照 3/3 干净。
方法控制不证明抽样组件存在竞态。</x:v>
      </x:c>
      <x:c r="G247" s="195" t="str">
        <x:v>not_testable</x:v>
      </x:c>
      <x:c r="H24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7" s="191" t="str">
        <x:f>IFERROR(HYPERLINK("file:///D:/openHarmonyScanner/outputs/01a14d00-bc78-7ac2-9520-210d4b92b1ac/poc/index.json","无专用 PoC"),"无专用 PoC")</x:f>
        <x:v>无专用 PoC</x:v>
      </x:c>
    </x:row>
    <x:row r="248" ht="58" customHeight="1">
      <x:c r="A248" s="175" t="str">
        <x:v>systemabilitymgr_safwk
openharmony/systemabilitymgr_safwk
CR-0243</x:v>
      </x:c>
      <x:c r="B248" s="176" t="str">
        <x:v>ohscanner.cpp.shared_ptr_race</x:v>
      </x:c>
      <x:c r="C248" s="196" t="str">
        <x:v>高优先级</x:v>
      </x:c>
      <x:c r="D248" s="176" t="str">
        <x:v>ohcpp-shared-ptr-race-candidate-001 / CWE-362</x:v>
      </x:c>
      <x:c r="E248" s="176" t="str">
        <x:v>interfaces/innerkits/safwk/expire_lru_cache.h:183
符号：data_</x:v>
      </x:c>
      <x:c r="F248" s="176" t="str">
        <x:v>未运行目标派生 harness；Docker 内通用 TSan 正控 3/3 稳定检出数据竞争，原子固定对照 3/3 干净。
方法控制不证明抽样组件存在竞态。</x:v>
      </x:c>
      <x:c r="G248" s="195" t="str">
        <x:v>not_testable</x:v>
      </x:c>
      <x:c r="H24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48" s="191" t="str">
        <x:f>IFERROR(HYPERLINK("file:///D:/openHarmonyScanner/outputs/01a14d00-bc78-7ac2-9520-210d4b92b1ac/poc/index.json","无专用 PoC"),"无专用 PoC")</x:f>
        <x:v>无专用 PoC</x:v>
      </x:c>
    </x:row>
    <x:row r="249" ht="58" customHeight="1">
      <x:c r="A249" s="175" t="str">
        <x:v>systemabilitymgr_safwk
openharmony/systemabilitymgr_safwk
CR-0244</x:v>
      </x:c>
      <x:c r="B249" s="176" t="str">
        <x:v>ohscanner.interface.ipc</x:v>
      </x:c>
      <x:c r="C249" s="182" t="str">
        <x:v>普通优先级</x:v>
      </x:c>
      <x:c r="D249" s="176" t="str">
        <x:v>ipc.relay.descriptor-boundary / CWE-441</x:v>
      </x:c>
      <x:c r="E249" s="176" t="str">
        <x:v>services/safwk/src/local_ability_manager_stub.cpp:93
符号：LocalAbilityManagerStub::OnRemoteRequest</x:v>
      </x:c>
      <x:c r="F249" s="176" t="str">
        <x:v>未运行目标派生 harness；通用 sanitizer 控制仅验证方法可用，不能替代产品入口、权限边界和 CIA 影响证明。</x:v>
      </x:c>
      <x:c r="G249" s="195" t="str">
        <x:v>not_testable</x:v>
      </x:c>
      <x:c r="H249" s="176" t="str">
        <x:v>1) 补充 descriptor 解析边界、输入长度与目标缓冲区容量的完整数据流
2) 证明真实 IPC 入口、可控触发条件和具体 CIA 影响</x:v>
      </x:c>
      <x:c r="I249" s="191" t="str">
        <x:f>IFERROR(HYPERLINK("file:///D:/openHarmonyScanner/outputs/01a14d00-bc78-7ac2-9520-210d4b92b1ac/poc/index.json","无专用 PoC"),"无专用 PoC")</x:f>
        <x:v>无专用 PoC</x:v>
      </x:c>
    </x:row>
    <x:row r="250" ht="58" customHeight="1">
      <x:c r="A250" s="175" t="str">
        <x:v>systemabilitymgr_safwk
openharmony/systemabilitymgr_safwk
CR-0245</x:v>
      </x:c>
      <x:c r="B250" s="176" t="str">
        <x:v>ohscanner.interface.ipc</x:v>
      </x:c>
      <x:c r="C250" s="182" t="str">
        <x:v>普通优先级</x:v>
      </x:c>
      <x:c r="D250" s="176" t="str">
        <x:v>ipc.relay.descriptor-boundary / CWE-441</x:v>
      </x:c>
      <x:c r="E250" s="176" t="str">
        <x:v>services/safwk/src/local_ability_manager_stub.cpp:98
符号：LocalAbilityManagerStub::OnRemoteRequest</x:v>
      </x:c>
      <x:c r="F250" s="176" t="str">
        <x:v>未运行目标派生 harness；通用 sanitizer 控制仅验证方法可用，不能替代产品入口、权限边界和 CIA 影响证明。</x:v>
      </x:c>
      <x:c r="G250" s="195" t="str">
        <x:v>not_testable</x:v>
      </x:c>
      <x:c r="H250" s="176" t="str">
        <x:v>1) 补充 descriptor 解析边界、输入长度与目标缓冲区容量的完整数据流
2) 证明真实 IPC 入口、可控触发条件和具体 CIA 影响</x:v>
      </x:c>
      <x:c r="I250" s="191" t="str">
        <x:f>IFERROR(HYPERLINK("file:///D:/openHarmonyScanner/outputs/01a14d00-bc78-7ac2-9520-210d4b92b1ac/poc/index.json","无专用 PoC"),"无专用 PoC")</x:f>
        <x:v>无专用 PoC</x:v>
      </x:c>
    </x:row>
    <x:row r="251" ht="58" customHeight="1">
      <x:c r="A251" s="175" t="str">
        <x:v>systemabilitymgr_safwk
openharmony/systemabilitymgr_safwk
CR-0246</x:v>
      </x:c>
      <x:c r="B251" s="176" t="str">
        <x:v>ohscanner.interface.ipc</x:v>
      </x:c>
      <x:c r="C251" s="196" t="str">
        <x:v>高优先级</x:v>
      </x:c>
      <x:c r="D251" s="176" t="str">
        <x:v>ipc.auth.missing / CWE-862</x:v>
      </x:c>
      <x:c r="E251" s="176" t="str">
        <x:v>services/safwk/src/local_ability_manager_stub.cpp:131
符号：LocalAbilityManagerStub::StartAbilityInner</x:v>
      </x:c>
      <x:c r="F251" s="176" t="str">
        <x:v>未运行目标派生 harness；通用 sanitizer 控制仅验证方法可用，不能替代产品入口、权限边界和 CIA 影响证明。</x:v>
      </x:c>
      <x:c r="G251" s="195" t="str">
        <x:v>not_testable</x:v>
      </x:c>
      <x:c r="H251" s="176" t="str">
        <x:v>1) 建立 Binder/IPC 入口、调用者 UID/PID/权限域与 upstream policy 的完整链路
2) 证明缺失 guard 支配所有到敏感操作的可达路径，而非仅局部函数片段
3) 证明攻击者可控输入可绕过授权并产生具体 CIA 影响</x:v>
      </x:c>
      <x:c r="I251" s="191" t="str">
        <x:f>IFERROR(HYPERLINK("file:///D:/openHarmonyScanner/outputs/01a14d00-bc78-7ac2-9520-210d4b92b1ac/poc/index.json","无专用 PoC"),"无专用 PoC")</x:f>
        <x:v>无专用 PoC</x:v>
      </x:c>
    </x:row>
    <x:row r="252" ht="58" customHeight="1">
      <x:c r="A252" s="175" t="str">
        <x:v>systemabilitymgr_safwk
openharmony/systemabilitymgr_safwk
CR-0247</x:v>
      </x:c>
      <x:c r="B252" s="176" t="str">
        <x:v>ohscanner.interface.ipc</x:v>
      </x:c>
      <x:c r="C252" s="182" t="str">
        <x:v>普通优先级</x:v>
      </x:c>
      <x:c r="D252" s="176" t="str">
        <x:v>ipc.relay.descriptor-boundary / CWE-441</x:v>
      </x:c>
      <x:c r="E252" s="176" t="str">
        <x:v>test/services/safwk/unittest/listen_ability/src/listen_ability_stub.cpp:129
符号：ListenAbilityStub::HandlePrivateRequest</x:v>
      </x:c>
      <x:c r="F252" s="176" t="str">
        <x:v>未运行目标派生 harness；通用 sanitizer 控制仅验证方法可用，不能替代产品入口、权限边界和 CIA 影响证明。</x:v>
      </x:c>
      <x:c r="G252" s="195" t="str">
        <x:v>not_testable</x:v>
      </x:c>
      <x:c r="H252" s="176" t="str">
        <x:v>1) 补充 descriptor 解析边界、输入长度与目标缓冲区容量的完整数据流
2) 证明真实 IPC 入口、可控触发条件和具体 CIA 影响</x:v>
      </x:c>
      <x:c r="I252" s="191" t="str">
        <x:f>IFERROR(HYPERLINK("file:///D:/openHarmonyScanner/outputs/01a14d00-bc78-7ac2-9520-210d4b92b1ac/poc/index.json","无专用 PoC"),"无专用 PoC")</x:f>
        <x:v>无专用 PoC</x:v>
      </x:c>
    </x:row>
    <x:row r="253" ht="58" customHeight="1">
      <x:c r="A253" s="175" t="str">
        <x:v>systemabilitymgr_safwk
openharmony/systemabilitymgr_safwk
CR-0248</x:v>
      </x:c>
      <x:c r="B253" s="176" t="str">
        <x:v>ohscanner.interface.ipc</x:v>
      </x:c>
      <x:c r="C253" s="182" t="str">
        <x:v>普通优先级</x:v>
      </x:c>
      <x:c r="D253" s="176" t="str">
        <x:v>ipc.relay.descriptor-boundary / CWE-441</x:v>
      </x:c>
      <x:c r="E253" s="176" t="str">
        <x:v>test/services/safwk/unittest/listen_ability/src/listen_ability_stub.cpp:131
符号：ListenAbilityStub::HandlePrivateRequest</x:v>
      </x:c>
      <x:c r="F253" s="176" t="str">
        <x:v>未运行目标派生 harness；通用 sanitizer 控制仅验证方法可用，不能替代产品入口、权限边界和 CIA 影响证明。</x:v>
      </x:c>
      <x:c r="G253" s="195" t="str">
        <x:v>not_testable</x:v>
      </x:c>
      <x:c r="H253" s="176" t="str">
        <x:v>1) 补充 descriptor 解析边界、输入长度与目标缓冲区容量的完整数据流
2) 证明真实 IPC 入口、可控触发条件和具体 CIA 影响</x:v>
      </x:c>
      <x:c r="I253" s="191" t="str">
        <x:f>IFERROR(HYPERLINK("file:///D:/openHarmonyScanner/outputs/01a14d00-bc78-7ac2-9520-210d4b92b1ac/poc/index.json","无专用 PoC"),"无专用 PoC")</x:f>
        <x:v>无专用 PoC</x:v>
      </x:c>
    </x:row>
    <x:row r="254" ht="58" customHeight="1">
      <x:c r="A254" s="175" t="str">
        <x:v>systemabilitymgr_safwk
openharmony/systemabilitymgr_safwk
CR-0249</x:v>
      </x:c>
      <x:c r="B254" s="176" t="str">
        <x:v>ohscanner.interface.ipc</x:v>
      </x:c>
      <x:c r="C254" s="182" t="str">
        <x:v>普通优先级</x:v>
      </x:c>
      <x:c r="D254" s="176" t="str">
        <x:v>ipc.relay.descriptor-boundary / CWE-441</x:v>
      </x:c>
      <x:c r="E254" s="176" t="str">
        <x:v>test/services/safwk/unittest/listen_ability/src/listen_ability_stub.cpp:177
符号：ListenAbilityStub::OnRemoteRequest</x:v>
      </x:c>
      <x:c r="F254" s="176" t="str">
        <x:v>未运行目标派生 harness；通用 sanitizer 控制仅验证方法可用，不能替代产品入口、权限边界和 CIA 影响证明。</x:v>
      </x:c>
      <x:c r="G254" s="195" t="str">
        <x:v>not_testable</x:v>
      </x:c>
      <x:c r="H254" s="176" t="str">
        <x:v>1) 补充 descriptor 解析边界、输入长度与目标缓冲区容量的完整数据流
2) 证明真实 IPC 入口、可控触发条件和具体 CIA 影响</x:v>
      </x:c>
      <x:c r="I254" s="191" t="str">
        <x:f>IFERROR(HYPERLINK("file:///D:/openHarmonyScanner/outputs/01a14d00-bc78-7ac2-9520-210d4b92b1ac/poc/index.json","无专用 PoC"),"无专用 PoC")</x:f>
        <x:v>无专用 PoC</x:v>
      </x:c>
    </x:row>
    <x:row r="255" ht="58" customHeight="1">
      <x:c r="A255" s="175" t="str">
        <x:v>systemabilitymgr_safwk
openharmony/systemabilitymgr_safwk
CR-0250</x:v>
      </x:c>
      <x:c r="B255" s="176" t="str">
        <x:v>ohscanner.interface.ipc</x:v>
      </x:c>
      <x:c r="C255" s="182" t="str">
        <x:v>普通优先级</x:v>
      </x:c>
      <x:c r="D255" s="176" t="str">
        <x:v>ipc.relay.descriptor-boundary / CWE-441</x:v>
      </x:c>
      <x:c r="E255" s="176" t="str">
        <x:v>test/services/safwk/unittest/listen_ability/src/listen_ability_stub.cpp:178
符号：ListenAbilityStub::OnRemoteRequest</x:v>
      </x:c>
      <x:c r="F255" s="176" t="str">
        <x:v>未运行目标派生 harness；通用 sanitizer 控制仅验证方法可用，不能替代产品入口、权限边界和 CIA 影响证明。</x:v>
      </x:c>
      <x:c r="G255" s="195" t="str">
        <x:v>not_testable</x:v>
      </x:c>
      <x:c r="H255" s="176" t="str">
        <x:v>1) 补充 descriptor 解析边界、输入长度与目标缓冲区容量的完整数据流
2) 证明真实 IPC 入口、可控触发条件和具体 CIA 影响</x:v>
      </x:c>
      <x:c r="I255" s="191" t="str">
        <x:f>IFERROR(HYPERLINK("file:///D:/openHarmonyScanner/outputs/01a14d00-bc78-7ac2-9520-210d4b92b1ac/poc/index.json","无专用 PoC"),"无专用 PoC")</x:f>
        <x:v>无专用 PoC</x:v>
      </x:c>
    </x:row>
    <x:row r="256" ht="58" customHeight="1">
      <x:c r="A256" s="175" t="str">
        <x:v>systemabilitymgr_safwk
openharmony/systemabilitymgr_safwk
CR-0251</x:v>
      </x:c>
      <x:c r="B256" s="176" t="str">
        <x:v>ohscanner.interface.ipc</x:v>
      </x:c>
      <x:c r="C256" s="196" t="str">
        <x:v>高优先级</x:v>
      </x:c>
      <x:c r="D256" s="176" t="str">
        <x:v>ipc.auth.missing / CWE-862</x:v>
      </x:c>
      <x:c r="E256" s="176" t="str">
        <x:v>test/services/safwk/unittest/multi_instance_test_probe/src/multi_instance_test_probe.cpp:133
符号：MultiInstanceTestProbe::TriggerRepublish</x:v>
      </x:c>
      <x:c r="F256" s="176" t="str">
        <x:v>未运行目标派生 harness；通用 sanitizer 控制仅验证方法可用，不能替代产品入口、权限边界和 CIA 影响证明。</x:v>
      </x:c>
      <x:c r="G256" s="195" t="str">
        <x:v>not_testable</x:v>
      </x:c>
      <x:c r="H256" s="176" t="str">
        <x:v>1) 建立 Binder/IPC 入口、调用者 UID/PID/权限域与 upstream policy 的完整链路
2) 证明缺失 guard 支配所有到敏感操作的可达路径，而非仅局部函数片段
3) 证明攻击者可控输入可绕过授权并产生具体 CIA 影响</x:v>
      </x:c>
      <x:c r="I256" s="191" t="str">
        <x:f>IFERROR(HYPERLINK("file:///D:/openHarmonyScanner/outputs/01a14d00-bc78-7ac2-9520-210d4b92b1ac/poc/index.json","无专用 PoC"),"无专用 PoC")</x:f>
        <x:v>无专用 PoC</x:v>
      </x:c>
    </x:row>
    <x:row r="257" ht="58" customHeight="1">
      <x:c r="A257" s="175" t="str">
        <x:v>powermgr_battery_statistics
openharmony/powermgr_battery_statistics
CR-0252</x:v>
      </x:c>
      <x:c r="B257" s="176" t="str">
        <x:v>ohscanner.cpp.shared_ptr_race</x:v>
      </x:c>
      <x:c r="C257" s="196" t="str">
        <x:v>高优先级</x:v>
      </x:c>
      <x:c r="D257" s="176" t="str">
        <x:v>ohcpp-shared-ptr-race-candidate-001 / CWE-362</x:v>
      </x:c>
      <x:c r="E257" s="176" t="str">
        <x:v>test/unittest/include/stats_test.h:41
符号：g_statsParser</x:v>
      </x:c>
      <x:c r="F257" s="176" t="str">
        <x:v>未运行目标派生 harness；Docker 内通用 TSan 正控 3/3 稳定检出数据竞争，原子固定对照 3/3 干净。
方法控制不证明抽样组件存在竞态。</x:v>
      </x:c>
      <x:c r="G257" s="195" t="str">
        <x:v>not_testable</x:v>
      </x:c>
      <x:c r="H25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57" s="191" t="str">
        <x:f>IFERROR(HYPERLINK("file:///D:/openHarmonyScanner/outputs/01a14d00-bc78-7ac2-9520-210d4b92b1ac/poc/index.json","无专用 PoC"),"无专用 PoC")</x:f>
        <x:v>无专用 PoC</x:v>
      </x:c>
    </x:row>
    <x:row r="258" ht="58" customHeight="1">
      <x:c r="A258" s="175" t="str">
        <x:v>powermgr_battery_statistics
openharmony/powermgr_battery_statistics
CR-0253</x:v>
      </x:c>
      <x:c r="B258" s="176" t="str">
        <x:v>ohscanner.cpp.shared_ptr_race</x:v>
      </x:c>
      <x:c r="C258" s="196" t="str">
        <x:v>高优先级</x:v>
      </x:c>
      <x:c r="D258" s="176" t="str">
        <x:v>ohcpp-shared-ptr-race-candidate-001 / CWE-362</x:v>
      </x:c>
      <x:c r="E258" s="176" t="str">
        <x:v>test/unittest/include/stats_test.h:42
符号：g_statsParser</x:v>
      </x:c>
      <x:c r="F258" s="176" t="str">
        <x:v>未运行目标派生 harness；Docker 内通用 TSan 正控 3/3 稳定检出数据竞争，原子固定对照 3/3 干净。
方法控制不证明抽样组件存在竞态。</x:v>
      </x:c>
      <x:c r="G258" s="195" t="str">
        <x:v>not_testable</x:v>
      </x:c>
      <x:c r="H25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58" s="191" t="str">
        <x:f>IFERROR(HYPERLINK("file:///D:/openHarmonyScanner/outputs/01a14d00-bc78-7ac2-9520-210d4b92b1ac/poc/index.json","无专用 PoC"),"无专用 PoC")</x:f>
        <x:v>无专用 PoC</x:v>
      </x:c>
    </x:row>
    <x:row r="259" ht="58" customHeight="1">
      <x:c r="A259" s="175" t="str">
        <x:v>powermgr_battery_statistics
openharmony/powermgr_battery_statistics
CR-0254</x:v>
      </x:c>
      <x:c r="B259" s="176" t="str">
        <x:v>ohscanner.cpp.shared_ptr_race</x:v>
      </x:c>
      <x:c r="C259" s="196" t="str">
        <x:v>高优先级</x:v>
      </x:c>
      <x:c r="D259" s="176" t="str">
        <x:v>ohcpp-shared-ptr-race-candidate-001 / CWE-362</x:v>
      </x:c>
      <x:c r="E259" s="176" t="str">
        <x:v>test/unittest/include/stats_test.h:43
符号：g_statsParser</x:v>
      </x:c>
      <x:c r="F259" s="176" t="str">
        <x:v>未运行目标派生 harness；Docker 内通用 TSan 正控 3/3 稳定检出数据竞争，原子固定对照 3/3 干净。
方法控制不证明抽样组件存在竞态。</x:v>
      </x:c>
      <x:c r="G259" s="195" t="str">
        <x:v>not_testable</x:v>
      </x:c>
      <x:c r="H25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59" s="191" t="str">
        <x:f>IFERROR(HYPERLINK("file:///D:/openHarmonyScanner/outputs/01a14d00-bc78-7ac2-9520-210d4b92b1ac/poc/index.json","无专用 PoC"),"无专用 PoC")</x:f>
        <x:v>无专用 PoC</x:v>
      </x:c>
    </x:row>
    <x:row r="260" ht="58" customHeight="1">
      <x:c r="A260" s="175" t="str">
        <x:v>global_i18n
openharmony/global_i18n
CR-0255</x:v>
      </x:c>
      <x:c r="B260" s="176" t="str">
        <x:v>ohscanner.cpp.shared_ptr_race</x:v>
      </x:c>
      <x:c r="C260" s="196" t="str">
        <x:v>高优先级</x:v>
      </x:c>
      <x:c r="D260" s="176" t="str">
        <x:v>ohcpp-shared-ptr-race-candidate-001 / CWE-362</x:v>
      </x:c>
      <x:c r="E260" s="176" t="str">
        <x:v>interfaces/ets/ani/i18n/include/simple_number_format_addon.h:35
符号：simpleNumberFormat_</x:v>
      </x:c>
      <x:c r="F260" s="176" t="str">
        <x:v>未运行目标派生 harness；Docker 内通用 TSan 正控 3/3 稳定检出数据竞争，原子固定对照 3/3 干净。
方法控制不证明抽样组件存在竞态。</x:v>
      </x:c>
      <x:c r="G260" s="195" t="str">
        <x:v>not_testable</x:v>
      </x:c>
      <x:c r="H26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0" s="191" t="str">
        <x:f>IFERROR(HYPERLINK("file:///D:/openHarmonyScanner/outputs/01a14d00-bc78-7ac2-9520-210d4b92b1ac/poc/index.json","无专用 PoC"),"无专用 PoC")</x:f>
        <x:v>无专用 PoC</x:v>
      </x:c>
    </x:row>
    <x:row r="261" ht="58" customHeight="1">
      <x:c r="A261" s="175" t="str">
        <x:v>global_i18n
openharmony/global_i18n
CR-0256</x:v>
      </x:c>
      <x:c r="B261" s="176" t="str">
        <x:v>ohscanner.cpp.shared_ptr_race</x:v>
      </x:c>
      <x:c r="C261" s="196" t="str">
        <x:v>高优先级</x:v>
      </x:c>
      <x:c r="D261" s="176" t="str">
        <x:v>ohcpp-shared-ptr-race-candidate-001 / CWE-362</x:v>
      </x:c>
      <x:c r="E261" s="176" t="str">
        <x:v>interfaces/ets/ani/intl/include/number_format_addon.h:38
符号：numberfmt_</x:v>
      </x:c>
      <x:c r="F261" s="176" t="str">
        <x:v>未运行目标派生 harness；Docker 内通用 TSan 正控 3/3 稳定检出数据竞争，原子固定对照 3/3 干净。
方法控制不证明抽样组件存在竞态。</x:v>
      </x:c>
      <x:c r="G261" s="195" t="str">
        <x:v>not_testable</x:v>
      </x:c>
      <x:c r="H26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1" s="191" t="str">
        <x:f>IFERROR(HYPERLINK("file:///D:/openHarmonyScanner/outputs/01a14d00-bc78-7ac2-9520-210d4b92b1ac/poc/index.json","无专用 PoC"),"无专用 PoC")</x:f>
        <x:v>无专用 PoC</x:v>
      </x:c>
    </x:row>
    <x:row r="262" ht="58" customHeight="1">
      <x:c r="A262" s="175" t="str">
        <x:v>multimedia_camera_framework
openharmony/multimedia_camera_framework
CR-0257</x:v>
      </x:c>
      <x:c r="B262" s="176" t="str">
        <x:v>ohscanner.cpp.shared_ptr_race</x:v>
      </x:c>
      <x:c r="C262" s="196" t="str">
        <x:v>高优先级</x:v>
      </x:c>
      <x:c r="D262" s="176" t="str">
        <x:v>ohcpp-shared-ptr-race-candidate-001 / CWE-362</x:v>
      </x:c>
      <x:c r="E262" s="176" t="str">
        <x:v>common/utils/watch_dog.h:34
符号：timeBroker_</x:v>
      </x:c>
      <x:c r="F262" s="176" t="str">
        <x:v>未运行目标派生 harness；Docker 内通用 TSan 正控 3/3 稳定检出数据竞争，原子固定对照 3/3 干净。
方法控制不证明抽样组件存在竞态。</x:v>
      </x:c>
      <x:c r="G262" s="195" t="str">
        <x:v>not_testable</x:v>
      </x:c>
      <x:c r="H26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2" s="191" t="str">
        <x:f>IFERROR(HYPERLINK("file:///D:/openHarmonyScanner/outputs/01a14d00-bc78-7ac2-9520-210d4b92b1ac/poc/index.json","无专用 PoC"),"无专用 PoC")</x:f>
        <x:v>无专用 PoC</x:v>
      </x:c>
    </x:row>
    <x:row r="263" ht="58" customHeight="1">
      <x:c r="A263" s="175" t="str">
        <x:v>multimedia_camera_framework
openharmony/multimedia_camera_framework
CR-0258</x:v>
      </x:c>
      <x:c r="B263" s="176" t="str">
        <x:v>ohscanner.cpp.shared_ptr_race</x:v>
      </x:c>
      <x:c r="C263" s="196" t="str">
        <x:v>高优先级</x:v>
      </x:c>
      <x:c r="D263" s="176" t="str">
        <x:v>ohcpp-shared-ptr-race-candidate-001 / CWE-362</x:v>
      </x:c>
      <x:c r="E263" s="176" t="str">
        <x:v>frameworks/taihe/include/camera_auto_ref_taihe.h:27
符号：callbackRef_</x:v>
      </x:c>
      <x:c r="F263" s="176" t="str">
        <x:v>未运行目标派生 harness；Docker 内通用 TSan 正控 3/3 稳定检出数据竞争，原子固定对照 3/3 干净。
方法控制不证明抽样组件存在竞态。</x:v>
      </x:c>
      <x:c r="G263" s="195" t="str">
        <x:v>not_testable</x:v>
      </x:c>
      <x:c r="H26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3" s="191" t="str">
        <x:f>IFERROR(HYPERLINK("file:///D:/openHarmonyScanner/outputs/01a14d00-bc78-7ac2-9520-210d4b92b1ac/poc/index.json","无专用 PoC"),"无专用 PoC")</x:f>
        <x:v>无专用 PoC</x:v>
      </x:c>
    </x:row>
    <x:row r="264" ht="58" customHeight="1">
      <x:c r="A264" s="175" t="str">
        <x:v>multimedia_camera_framework
openharmony/multimedia_camera_framework
CR-0259</x:v>
      </x:c>
      <x:c r="B264" s="176" t="str">
        <x:v>ohscanner.cpp.shared_ptr_race</x:v>
      </x:c>
      <x:c r="C264" s="196" t="str">
        <x:v>高优先级</x:v>
      </x:c>
      <x:c r="D264" s="176" t="str">
        <x:v>ohcpp-shared-ptr-race-candidate-001 / CWE-362</x:v>
      </x:c>
      <x:c r="E264" s="176" t="str">
        <x:v>frameworks/taihe/include/camera_auto_ref_taihe.h:43
符号：callbackRef_</x:v>
      </x:c>
      <x:c r="F264" s="176" t="str">
        <x:v>未运行目标派生 harness；Docker 内通用 TSan 正控 3/3 稳定检出数据竞争，原子固定对照 3/3 干净。
方法控制不证明抽样组件存在竞态。</x:v>
      </x:c>
      <x:c r="G264" s="195" t="str">
        <x:v>not_testable</x:v>
      </x:c>
      <x:c r="H26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4" s="191" t="str">
        <x:f>IFERROR(HYPERLINK("file:///D:/openHarmonyScanner/outputs/01a14d00-bc78-7ac2-9520-210d4b92b1ac/poc/index.json","无专用 PoC"),"无专用 PoC")</x:f>
        <x:v>无专用 PoC</x:v>
      </x:c>
    </x:row>
    <x:row r="265" ht="58" customHeight="1">
      <x:c r="A265" s="175" t="str">
        <x:v>multimedia_camera_framework
openharmony/multimedia_camera_framework
CR-0260</x:v>
      </x:c>
      <x:c r="B265" s="176" t="str">
        <x:v>ohscanner.cpp.shared_ptr_race</x:v>
      </x:c>
      <x:c r="C265" s="196" t="str">
        <x:v>高优先级</x:v>
      </x:c>
      <x:c r="D265" s="176" t="str">
        <x:v>ohcpp-shared-ptr-race-candidate-001 / CWE-362</x:v>
      </x:c>
      <x:c r="E265" s="176" t="str">
        <x:v>frameworks/taihe/include/camera_auto_ref_taihe.h:48
符号：callbackRef_</x:v>
      </x:c>
      <x:c r="F265" s="176" t="str">
        <x:v>未运行目标派生 harness；Docker 内通用 TSan 正控 3/3 稳定检出数据竞争，原子固定对照 3/3 干净。
方法控制不证明抽样组件存在竞态。</x:v>
      </x:c>
      <x:c r="G265" s="195" t="str">
        <x:v>not_testable</x:v>
      </x:c>
      <x:c r="H26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5" s="191" t="str">
        <x:f>IFERROR(HYPERLINK("file:///D:/openHarmonyScanner/outputs/01a14d00-bc78-7ac2-9520-210d4b92b1ac/poc/index.json","无专用 PoC"),"无专用 PoC")</x:f>
        <x:v>无专用 PoC</x:v>
      </x:c>
    </x:row>
    <x:row r="266" ht="58" customHeight="1">
      <x:c r="A266" s="175" t="str">
        <x:v>multimedia_camera_framework
openharmony/multimedia_camera_framework
CR-0261</x:v>
      </x:c>
      <x:c r="B266" s="176" t="str">
        <x:v>ohscanner.cpp.shared_ptr_race</x:v>
      </x:c>
      <x:c r="C266" s="196" t="str">
        <x:v>高优先级</x:v>
      </x:c>
      <x:c r="D266" s="176" t="str">
        <x:v>ohcpp-shared-ptr-race-candidate-001 / CWE-362</x:v>
      </x:c>
      <x:c r="E266" s="176" t="str">
        <x:v>frameworks/taihe/include/camera_auto_ref_taihe.h:52
符号：callbackRef_</x:v>
      </x:c>
      <x:c r="F266" s="176" t="str">
        <x:v>未运行目标派生 harness；Docker 内通用 TSan 正控 3/3 稳定检出数据竞争，原子固定对照 3/3 干净。
方法控制不证明抽样组件存在竞态。</x:v>
      </x:c>
      <x:c r="G266" s="195" t="str">
        <x:v>not_testable</x:v>
      </x:c>
      <x:c r="H26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6" s="191" t="str">
        <x:f>IFERROR(HYPERLINK("file:///D:/openHarmonyScanner/outputs/01a14d00-bc78-7ac2-9520-210d4b92b1ac/poc/index.json","无专用 PoC"),"无专用 PoC")</x:f>
        <x:v>无专用 PoC</x:v>
      </x:c>
    </x:row>
    <x:row r="267" ht="58" customHeight="1">
      <x:c r="A267" s="175" t="str">
        <x:v>multimedia_camera_framework
openharmony/multimedia_camera_framework
CR-0262</x:v>
      </x:c>
      <x:c r="B267" s="176" t="str">
        <x:v>ohscanner.cpp.shared_ptr_race</x:v>
      </x:c>
      <x:c r="C267" s="196" t="str">
        <x:v>高优先级</x:v>
      </x:c>
      <x:c r="D267" s="176" t="str">
        <x:v>ohcpp-shared-ptr-race-candidate-001 / CWE-362</x:v>
      </x:c>
      <x:c r="E267" s="176" t="str">
        <x:v>frameworks/taihe/include/camera_event_listener_taihe.h:58
符号：eventListenerMap_</x:v>
      </x:c>
      <x:c r="F267" s="176" t="str">
        <x:v>未运行目标派生 harness；Docker 内通用 TSan 正控 3/3 稳定检出数据竞争，原子固定对照 3/3 干净。
方法控制不证明抽样组件存在竞态。</x:v>
      </x:c>
      <x:c r="G267" s="195" t="str">
        <x:v>not_testable</x:v>
      </x:c>
      <x:c r="H26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7" s="191" t="str">
        <x:f>IFERROR(HYPERLINK("file:///D:/openHarmonyScanner/outputs/01a14d00-bc78-7ac2-9520-210d4b92b1ac/poc/index.json","无专用 PoC"),"无专用 PoC")</x:f>
        <x:v>无专用 PoC</x:v>
      </x:c>
    </x:row>
    <x:row r="268" ht="58" customHeight="1">
      <x:c r="A268" s="175" t="str">
        <x:v>multimedia_camera_framework
openharmony/multimedia_camera_framework
CR-0263</x:v>
      </x:c>
      <x:c r="B268" s="176" t="str">
        <x:v>ohscanner.cpp.shared_ptr_race</x:v>
      </x:c>
      <x:c r="C268" s="196" t="str">
        <x:v>高优先级</x:v>
      </x:c>
      <x:c r="D268" s="176" t="str">
        <x:v>ohcpp-shared-ptr-race-candidate-001 / CWE-362</x:v>
      </x:c>
      <x:c r="E268" s="176" t="str">
        <x:v>frameworks/taihe/include/camera_event_listener_taihe.h:59
符号：eventListenerMap_</x:v>
      </x:c>
      <x:c r="F268" s="176" t="str">
        <x:v>未运行目标派生 harness；Docker 内通用 TSan 正控 3/3 稳定检出数据竞争，原子固定对照 3/3 干净。
方法控制不证明抽样组件存在竞态。</x:v>
      </x:c>
      <x:c r="G268" s="195" t="str">
        <x:v>not_testable</x:v>
      </x:c>
      <x:c r="H26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8" s="191" t="str">
        <x:f>IFERROR(HYPERLINK("file:///D:/openHarmonyScanner/outputs/01a14d00-bc78-7ac2-9520-210d4b92b1ac/poc/index.json","无专用 PoC"),"无专用 PoC")</x:f>
        <x:v>无专用 PoC</x:v>
      </x:c>
    </x:row>
    <x:row r="269" ht="58" customHeight="1">
      <x:c r="A269" s="175" t="str">
        <x:v>multimedia_camera_framework
openharmony/multimedia_camera_framework
CR-0264</x:v>
      </x:c>
      <x:c r="B269" s="176" t="str">
        <x:v>ohscanner.cpp.shared_ptr_race</x:v>
      </x:c>
      <x:c r="C269" s="196" t="str">
        <x:v>高优先级</x:v>
      </x:c>
      <x:c r="D269" s="176" t="str">
        <x:v>ohcpp-shared-ptr-race-candidate-001 / CWE-362</x:v>
      </x:c>
      <x:c r="E269" s="176" t="str">
        <x:v>frameworks/taihe/include/camera_event_listener_taihe.h:67
符号：eventListenerMap_</x:v>
      </x:c>
      <x:c r="F269" s="176" t="str">
        <x:v>未运行目标派生 harness；Docker 内通用 TSan 正控 3/3 稳定检出数据竞争，原子固定对照 3/3 干净。
方法控制不证明抽样组件存在竞态。</x:v>
      </x:c>
      <x:c r="G269" s="195" t="str">
        <x:v>not_testable</x:v>
      </x:c>
      <x:c r="H26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69" s="191" t="str">
        <x:f>IFERROR(HYPERLINK("file:///D:/openHarmonyScanner/outputs/01a14d00-bc78-7ac2-9520-210d4b92b1ac/poc/index.json","无专用 PoC"),"无专用 PoC")</x:f>
        <x:v>无专用 PoC</x:v>
      </x:c>
    </x:row>
    <x:row r="270" ht="58" customHeight="1">
      <x:c r="A270" s="175" t="str">
        <x:v>multimedia_camera_framework
openharmony/multimedia_camera_framework
CR-0265</x:v>
      </x:c>
      <x:c r="B270" s="176" t="str">
        <x:v>ohscanner.cpp.shared_ptr_race</x:v>
      </x:c>
      <x:c r="C270" s="196" t="str">
        <x:v>高优先级</x:v>
      </x:c>
      <x:c r="D270" s="176" t="str">
        <x:v>ohcpp-shared-ptr-race-candidate-001 / CWE-362</x:v>
      </x:c>
      <x:c r="E270" s="176" t="str">
        <x:v>frameworks/taihe/include/picker/camera_picker_taihe.h:192
符号：asyncCtx_</x:v>
      </x:c>
      <x:c r="F270" s="176" t="str">
        <x:v>未运行目标派生 harness；Docker 内通用 TSan 正控 3/3 稳定检出数据竞争，原子固定对照 3/3 干净。
方法控制不证明抽样组件存在竞态。</x:v>
      </x:c>
      <x:c r="G270" s="195" t="str">
        <x:v>not_testable</x:v>
      </x:c>
      <x:c r="H27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0" s="191" t="str">
        <x:f>IFERROR(HYPERLINK("file:///D:/openHarmonyScanner/outputs/01a14d00-bc78-7ac2-9520-210d4b92b1ac/poc/index.json","无专用 PoC"),"无专用 PoC")</x:f>
        <x:v>无专用 PoC</x:v>
      </x:c>
    </x:row>
    <x:row r="271" ht="58" customHeight="1">
      <x:c r="A271" s="175" t="str">
        <x:v>multimedia_camera_framework
openharmony/multimedia_camera_framework
CR-0266</x:v>
      </x:c>
      <x:c r="B271" s="176" t="str">
        <x:v>ohscanner.cpp.shared_ptr_race</x:v>
      </x:c>
      <x:c r="C271" s="196" t="str">
        <x:v>高优先级</x:v>
      </x:c>
      <x:c r="D271" s="176" t="str">
        <x:v>ohcpp-shared-ptr-race-candidate-001 / CWE-362</x:v>
      </x:c>
      <x:c r="E271" s="176" t="str">
        <x:v>interfaces/inner_api/native/camera/include/session/capture_session.h:2162
符号：metadataResultProcessor_</x:v>
      </x:c>
      <x:c r="F271" s="176" t="str">
        <x:v>未运行目标派生 harness；Docker 内通用 TSan 正控 3/3 稳定检出数据竞争，原子固定对照 3/3 干净。
方法控制不证明抽样组件存在竞态。</x:v>
      </x:c>
      <x:c r="G271" s="195" t="str">
        <x:v>not_testable</x:v>
      </x:c>
      <x:c r="H27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1" s="191" t="str">
        <x:f>IFERROR(HYPERLINK("file:///D:/openHarmonyScanner/outputs/01a14d00-bc78-7ac2-9520-210d4b92b1ac/poc/index.json","无专用 PoC"),"无专用 PoC")</x:f>
        <x:v>无专用 PoC</x:v>
      </x:c>
    </x:row>
    <x:row r="272" ht="58" customHeight="1">
      <x:c r="A272" s="175" t="str">
        <x:v>multimedia_camera_framework
openharmony/multimedia_camera_framework
CR-0267</x:v>
      </x:c>
      <x:c r="B272" s="176" t="str">
        <x:v>ohscanner.cpp.shared_ptr_race</x:v>
      </x:c>
      <x:c r="C272" s="196" t="str">
        <x:v>高优先级</x:v>
      </x:c>
      <x:c r="D272" s="176" t="str">
        <x:v>ohcpp-shared-ptr-race-candidate-001 / CWE-362</x:v>
      </x:c>
      <x:c r="E272" s="176" t="str">
        <x:v>interfaces/kits/js/camera_napi/include/camera_napi_event_listener.h:60
符号：eventListenerMap_</x:v>
      </x:c>
      <x:c r="F272" s="176" t="str">
        <x:v>未运行目标派生 harness；Docker 内通用 TSan 正控 3/3 稳定检出数据竞争，原子固定对照 3/3 干净。
方法控制不证明抽样组件存在竞态。</x:v>
      </x:c>
      <x:c r="G272" s="195" t="str">
        <x:v>not_testable</x:v>
      </x:c>
      <x:c r="H27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2" s="191" t="str">
        <x:f>IFERROR(HYPERLINK("file:///D:/openHarmonyScanner/outputs/01a14d00-bc78-7ac2-9520-210d4b92b1ac/poc/index.json","无专用 PoC"),"无专用 PoC")</x:f>
        <x:v>无专用 PoC</x:v>
      </x:c>
    </x:row>
    <x:row r="273" ht="58" customHeight="1">
      <x:c r="A273" s="175" t="str">
        <x:v>multimedia_camera_framework
openharmony/multimedia_camera_framework
CR-0268</x:v>
      </x:c>
      <x:c r="B273" s="176" t="str">
        <x:v>ohscanner.cpp.shared_ptr_race</x:v>
      </x:c>
      <x:c r="C273" s="196" t="str">
        <x:v>高优先级</x:v>
      </x:c>
      <x:c r="D273" s="176" t="str">
        <x:v>ohcpp-shared-ptr-race-candidate-001 / CWE-362</x:v>
      </x:c>
      <x:c r="E273" s="176" t="str">
        <x:v>interfaces/kits/js/camera_napi/include/camera_napi_event_listener.h:61
符号：eventListenerMap_</x:v>
      </x:c>
      <x:c r="F273" s="176" t="str">
        <x:v>未运行目标派生 harness；Docker 内通用 TSan 正控 3/3 稳定检出数据竞争，原子固定对照 3/3 干净。
方法控制不证明抽样组件存在竞态。</x:v>
      </x:c>
      <x:c r="G273" s="195" t="str">
        <x:v>not_testable</x:v>
      </x:c>
      <x:c r="H27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3" s="191" t="str">
        <x:f>IFERROR(HYPERLINK("file:///D:/openHarmonyScanner/outputs/01a14d00-bc78-7ac2-9520-210d4b92b1ac/poc/index.json","无专用 PoC"),"无专用 PoC")</x:f>
        <x:v>无专用 PoC</x:v>
      </x:c>
    </x:row>
    <x:row r="274" ht="58" customHeight="1">
      <x:c r="A274" s="175" t="str">
        <x:v>multimedia_camera_framework
openharmony/multimedia_camera_framework
CR-0269</x:v>
      </x:c>
      <x:c r="B274" s="176" t="str">
        <x:v>ohscanner.cpp.shared_ptr_race</x:v>
      </x:c>
      <x:c r="C274" s="196" t="str">
        <x:v>高优先级</x:v>
      </x:c>
      <x:c r="D274" s="176" t="str">
        <x:v>ohcpp-shared-ptr-race-candidate-001 / CWE-362</x:v>
      </x:c>
      <x:c r="E274" s="176" t="str">
        <x:v>interfaces/kits/js/camera_napi/include/camera_napi_event_listener.h:69
符号：eventListenerMap_</x:v>
      </x:c>
      <x:c r="F274" s="176" t="str">
        <x:v>未运行目标派生 harness；Docker 内通用 TSan 正控 3/3 稳定检出数据竞争，原子固定对照 3/3 干净。
方法控制不证明抽样组件存在竞态。</x:v>
      </x:c>
      <x:c r="G274" s="195" t="str">
        <x:v>not_testable</x:v>
      </x:c>
      <x:c r="H27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4" s="191" t="str">
        <x:f>IFERROR(HYPERLINK("file:///D:/openHarmonyScanner/outputs/01a14d00-bc78-7ac2-9520-210d4b92b1ac/poc/index.json","无专用 PoC"),"无专用 PoC")</x:f>
        <x:v>无专用 PoC</x:v>
      </x:c>
    </x:row>
    <x:row r="275" ht="58" customHeight="1">
      <x:c r="A275" s="175" t="str">
        <x:v>multimedia_camera_framework
openharmony/multimedia_camera_framework
CR-0270</x:v>
      </x:c>
      <x:c r="B275" s="176" t="str">
        <x:v>ohscanner.cpp.shared_ptr_race</x:v>
      </x:c>
      <x:c r="C275" s="196" t="str">
        <x:v>高优先级</x:v>
      </x:c>
      <x:c r="D275" s="176" t="str">
        <x:v>ohcpp-shared-ptr-race-candidate-001 / CWE-362</x:v>
      </x:c>
      <x:c r="E275" s="176" t="str">
        <x:v>interfaces/kits/js/camera_napi/include/camera_napi_object_types.h:43
符号：ptrHolder_</x:v>
      </x:c>
      <x:c r="F275" s="176" t="str">
        <x:v>未运行目标派生 harness；Docker 内通用 TSan 正控 3/3 稳定检出数据竞争，原子固定对照 3/3 干净。
方法控制不证明抽样组件存在竞态。</x:v>
      </x:c>
      <x:c r="G275" s="195" t="str">
        <x:v>not_testable</x:v>
      </x:c>
      <x:c r="H27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5" s="191" t="str">
        <x:f>IFERROR(HYPERLINK("file:///D:/openHarmonyScanner/outputs/01a14d00-bc78-7ac2-9520-210d4b92b1ac/poc/index.json","无专用 PoC"),"无专用 PoC")</x:f>
        <x:v>无专用 PoC</x:v>
      </x:c>
    </x:row>
    <x:row r="276" ht="58" customHeight="1">
      <x:c r="A276" s="175" t="str">
        <x:v>multimedia_camera_framework
openharmony/multimedia_camera_framework
CR-0271</x:v>
      </x:c>
      <x:c r="B276" s="176" t="str">
        <x:v>ohscanner.cpp.shared_ptr_race</x:v>
      </x:c>
      <x:c r="C276" s="196" t="str">
        <x:v>高优先级</x:v>
      </x:c>
      <x:c r="D276" s="176" t="str">
        <x:v>ohcpp-shared-ptr-race-candidate-001 / CWE-362</x:v>
      </x:c>
      <x:c r="E276" s="176" t="str">
        <x:v>interfaces/kits/js/camera_napi/include/camera_napi_param_parser.h:208
符号：asyncFunction_</x:v>
      </x:c>
      <x:c r="F276" s="176" t="str">
        <x:v>未运行目标派生 harness；Docker 内通用 TSan 正控 3/3 稳定检出数据竞争，原子固定对照 3/3 干净。
方法控制不证明抽样组件存在竞态。</x:v>
      </x:c>
      <x:c r="G276" s="195" t="str">
        <x:v>not_testable</x:v>
      </x:c>
      <x:c r="H27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6" s="191" t="str">
        <x:f>IFERROR(HYPERLINK("file:///D:/openHarmonyScanner/outputs/01a14d00-bc78-7ac2-9520-210d4b92b1ac/poc/index.json","无专用 PoC"),"无专用 PoC")</x:f>
        <x:v>无专用 PoC</x:v>
      </x:c>
    </x:row>
    <x:row r="277" ht="58" customHeight="1">
      <x:c r="A277" s="175" t="str">
        <x:v>multimedia_camera_framework
openharmony/multimedia_camera_framework
CR-0272</x:v>
      </x:c>
      <x:c r="B277" s="176" t="str">
        <x:v>ohscanner.cpp.shared_ptr_race</x:v>
      </x:c>
      <x:c r="C277" s="196" t="str">
        <x:v>高优先级</x:v>
      </x:c>
      <x:c r="D277" s="176" t="str">
        <x:v>ohcpp-shared-ptr-race-candidate-001 / CWE-362</x:v>
      </x:c>
      <x:c r="E277" s="176" t="str">
        <x:v>interfaces/kits/js/camera_napi/include/camera_napi_param_parser.h:210
符号：asyncFunction_</x:v>
      </x:c>
      <x:c r="F277" s="176" t="str">
        <x:v>未运行目标派生 harness；Docker 内通用 TSan 正控 3/3 稳定检出数据竞争，原子固定对照 3/3 干净。
方法控制不证明抽样组件存在竞态。</x:v>
      </x:c>
      <x:c r="G277" s="195" t="str">
        <x:v>not_testable</x:v>
      </x:c>
      <x:c r="H27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7" s="191" t="str">
        <x:f>IFERROR(HYPERLINK("file:///D:/openHarmonyScanner/outputs/01a14d00-bc78-7ac2-9520-210d4b92b1ac/poc/index.json","无专用 PoC"),"无专用 PoC")</x:f>
        <x:v>无专用 PoC</x:v>
      </x:c>
    </x:row>
    <x:row r="278" ht="58" customHeight="1">
      <x:c r="A278" s="175" t="str">
        <x:v>multimedia_camera_framework
openharmony/multimedia_camera_framework
CR-0273</x:v>
      </x:c>
      <x:c r="B278" s="176" t="str">
        <x:v>ohscanner.cpp.shared_ptr_race</x:v>
      </x:c>
      <x:c r="C278" s="196" t="str">
        <x:v>高优先级</x:v>
      </x:c>
      <x:c r="D278" s="176" t="str">
        <x:v>ohcpp-shared-ptr-race-candidate-001 / CWE-362</x:v>
      </x:c>
      <x:c r="E278" s="176" t="str">
        <x:v>interfaces/kits/js/camera_napi/include/camera_napi_param_parser.h:217
符号：asyncFunction_</x:v>
      </x:c>
      <x:c r="F278" s="176" t="str">
        <x:v>未运行目标派生 harness；Docker 内通用 TSan 正控 3/3 稳定检出数据竞争，原子固定对照 3/3 干净。
方法控制不证明抽样组件存在竞态。</x:v>
      </x:c>
      <x:c r="G278" s="195" t="str">
        <x:v>not_testable</x:v>
      </x:c>
      <x:c r="H27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8" s="191" t="str">
        <x:f>IFERROR(HYPERLINK("file:///D:/openHarmonyScanner/outputs/01a14d00-bc78-7ac2-9520-210d4b92b1ac/poc/index.json","无专用 PoC"),"无专用 PoC")</x:f>
        <x:v>无专用 PoC</x:v>
      </x:c>
    </x:row>
    <x:row r="279" ht="58" customHeight="1">
      <x:c r="A279" s="175" t="str">
        <x:v>multimedia_camera_framework
openharmony/multimedia_camera_framework
CR-0274</x:v>
      </x:c>
      <x:c r="B279" s="176" t="str">
        <x:v>ohscanner.cpp.shared_ptr_race</x:v>
      </x:c>
      <x:c r="C279" s="196" t="str">
        <x:v>高优先级</x:v>
      </x:c>
      <x:c r="D279" s="176" t="str">
        <x:v>ohcpp-shared-ptr-race-candidate-001 / CWE-362</x:v>
      </x:c>
      <x:c r="E279" s="176" t="str">
        <x:v>interfaces/kits/js/camera_napi/include/camera_napi_param_parser.h:224
符号：asyncFunction_</x:v>
      </x:c>
      <x:c r="F279" s="176" t="str">
        <x:v>未运行目标派生 harness；Docker 内通用 TSan 正控 3/3 稳定检出数据竞争，原子固定对照 3/3 干净。
方法控制不证明抽样组件存在竞态。</x:v>
      </x:c>
      <x:c r="G279" s="195" t="str">
        <x:v>not_testable</x:v>
      </x:c>
      <x:c r="H27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79" s="191" t="str">
        <x:f>IFERROR(HYPERLINK("file:///D:/openHarmonyScanner/outputs/01a14d00-bc78-7ac2-9520-210d4b92b1ac/poc/index.json","无专用 PoC"),"无专用 PoC")</x:f>
        <x:v>无专用 PoC</x:v>
      </x:c>
    </x:row>
    <x:row r="280" ht="58" customHeight="1">
      <x:c r="A280" s="175" t="str">
        <x:v>multimedia_camera_framework
openharmony/multimedia_camera_framework
CR-0275</x:v>
      </x:c>
      <x:c r="B280" s="176" t="str">
        <x:v>ohscanner.cpp.shared_ptr_race</x:v>
      </x:c>
      <x:c r="C280" s="196" t="str">
        <x:v>高优先级</x:v>
      </x:c>
      <x:c r="D280" s="176" t="str">
        <x:v>ohcpp-shared-ptr-race-candidate-001 / CWE-362</x:v>
      </x:c>
      <x:c r="E280" s="176" t="str">
        <x:v>interfaces/kits/js/camera_napi/include/camera_napi_param_parser.h:229
符号：asyncFunction_</x:v>
      </x:c>
      <x:c r="F280" s="176" t="str">
        <x:v>未运行目标派生 harness；Docker 内通用 TSan 正控 3/3 稳定检出数据竞争，原子固定对照 3/3 干净。
方法控制不证明抽样组件存在竞态。</x:v>
      </x:c>
      <x:c r="G280" s="195" t="str">
        <x:v>not_testable</x:v>
      </x:c>
      <x:c r="H28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0" s="191" t="str">
        <x:f>IFERROR(HYPERLINK("file:///D:/openHarmonyScanner/outputs/01a14d00-bc78-7ac2-9520-210d4b92b1ac/poc/index.json","无专用 PoC"),"无专用 PoC")</x:f>
        <x:v>无专用 PoC</x:v>
      </x:c>
    </x:row>
    <x:row r="281" ht="58" customHeight="1">
      <x:c r="A281" s="175" t="str">
        <x:v>multimedia_camera_framework
openharmony/multimedia_camera_framework
CR-0276</x:v>
      </x:c>
      <x:c r="B281" s="176" t="str">
        <x:v>ohscanner.cpp.shared_ptr_race</x:v>
      </x:c>
      <x:c r="C281" s="196" t="str">
        <x:v>高优先级</x:v>
      </x:c>
      <x:c r="D281" s="176" t="str">
        <x:v>ohcpp-shared-ptr-race-candidate-001 / CWE-362</x:v>
      </x:c>
      <x:c r="E281" s="176" t="str">
        <x:v>mediastream/include/buffer/buffer_wrapper_base.h:47
符号：encodedBuffer_</x:v>
      </x:c>
      <x:c r="F281" s="176" t="str">
        <x:v>未运行目标派生 harness；Docker 内通用 TSan 正控 3/3 稳定检出数据竞争，原子固定对照 3/3 干净。
方法控制不证明抽样组件存在竞态。</x:v>
      </x:c>
      <x:c r="G281" s="195" t="str">
        <x:v>not_testable</x:v>
      </x:c>
      <x:c r="H28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1" s="191" t="str">
        <x:f>IFERROR(HYPERLINK("file:///D:/openHarmonyScanner/outputs/01a14d00-bc78-7ac2-9520-210d4b92b1ac/poc/index.json","无专用 PoC"),"无专用 PoC")</x:f>
        <x:v>无专用 PoC</x:v>
      </x:c>
    </x:row>
    <x:row r="282" ht="58" customHeight="1">
      <x:c r="A282" s="175" t="str">
        <x:v>multimedia_camera_framework
openharmony/multimedia_camera_framework
CR-0277</x:v>
      </x:c>
      <x:c r="B282" s="176" t="str">
        <x:v>ohscanner.cpp.shared_ptr_race</x:v>
      </x:c>
      <x:c r="C282" s="196" t="str">
        <x:v>高优先级</x:v>
      </x:c>
      <x:c r="D282" s="176" t="str">
        <x:v>ohcpp-shared-ptr-race-candidate-001 / CWE-362</x:v>
      </x:c>
      <x:c r="E282" s="176" t="str">
        <x:v>mediastream/include/buffer/buffer_wrapper_base.h:122
符号：encodedBuffer_</x:v>
      </x:c>
      <x:c r="F282" s="176" t="str">
        <x:v>未运行目标派生 harness；Docker 内通用 TSan 正控 3/3 稳定检出数据竞争，原子固定对照 3/3 干净。
方法控制不证明抽样组件存在竞态。</x:v>
      </x:c>
      <x:c r="G282" s="195" t="str">
        <x:v>not_testable</x:v>
      </x:c>
      <x:c r="H28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2" s="191" t="str">
        <x:f>IFERROR(HYPERLINK("file:///D:/openHarmonyScanner/outputs/01a14d00-bc78-7ac2-9520-210d4b92b1ac/poc/index.json","无专用 PoC"),"无专用 PoC")</x:f>
        <x:v>无专用 PoC</x:v>
      </x:c>
    </x:row>
    <x:row r="283" ht="58" customHeight="1">
      <x:c r="A283" s="175" t="str">
        <x:v>multimedia_camera_framework
openharmony/multimedia_camera_framework
CR-0278</x:v>
      </x:c>
      <x:c r="B283" s="176" t="str">
        <x:v>ohscanner.cpp.shared_ptr_race</x:v>
      </x:c>
      <x:c r="C283" s="196" t="str">
        <x:v>高优先级</x:v>
      </x:c>
      <x:c r="D283" s="176" t="str">
        <x:v>ohcpp-shared-ptr-race-candidate-001 / CWE-362</x:v>
      </x:c>
      <x:c r="E283" s="176" t="str">
        <x:v>mediastream/include/buffer/buffer_wrapper_base.h:127
符号：encodedBuffer_</x:v>
      </x:c>
      <x:c r="F283" s="176" t="str">
        <x:v>未运行目标派生 harness；Docker 内通用 TSan 正控 3/3 稳定检出数据竞争，原子固定对照 3/3 干净。
方法控制不证明抽样组件存在竞态。</x:v>
      </x:c>
      <x:c r="G283" s="195" t="str">
        <x:v>not_testable</x:v>
      </x:c>
      <x:c r="H28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3" s="191" t="str">
        <x:f>IFERROR(HYPERLINK("file:///D:/openHarmonyScanner/outputs/01a14d00-bc78-7ac2-9520-210d4b92b1ac/poc/index.json","无专用 PoC"),"无专用 PoC")</x:f>
        <x:v>无专用 PoC</x:v>
      </x:c>
    </x:row>
    <x:row r="284" ht="58" customHeight="1">
      <x:c r="A284" s="175" t="str">
        <x:v>multimedia_camera_framework
openharmony/multimedia_camera_framework
CR-0279</x:v>
      </x:c>
      <x:c r="B284" s="176" t="str">
        <x:v>ohscanner.cpp.shared_ptr_race</x:v>
      </x:c>
      <x:c r="C284" s="196" t="str">
        <x:v>高优先级</x:v>
      </x:c>
      <x:c r="D284" s="176" t="str">
        <x:v>ohcpp-shared-ptr-race-candidate-001 / CWE-362</x:v>
      </x:c>
      <x:c r="E284" s="176" t="str">
        <x:v>mediastream/include/filter/moving_photo_video_encoder_filter.h:82
符号：configureParameter_</x:v>
      </x:c>
      <x:c r="F284" s="176" t="str">
        <x:v>未运行目标派生 harness；Docker 内通用 TSan 正控 3/3 稳定检出数据竞争，原子固定对照 3/3 干净。
方法控制不证明抽样组件存在竞态。</x:v>
      </x:c>
      <x:c r="G284" s="195" t="str">
        <x:v>not_testable</x:v>
      </x:c>
      <x:c r="H28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4" s="191" t="str">
        <x:f>IFERROR(HYPERLINK("file:///D:/openHarmonyScanner/outputs/01a14d00-bc78-7ac2-9520-210d4b92b1ac/poc/index.json","无专用 PoC"),"无专用 PoC")</x:f>
        <x:v>无专用 PoC</x:v>
      </x:c>
    </x:row>
    <x:row r="285" ht="58" customHeight="1">
      <x:c r="A285" s="175" t="str">
        <x:v>multimedia_camera_framework
openharmony/multimedia_camera_framework
CR-0280</x:v>
      </x:c>
      <x:c r="B285" s="176" t="str">
        <x:v>ohscanner.cpp.shared_ptr_race</x:v>
      </x:c>
      <x:c r="C285" s="196" t="str">
        <x:v>高优先级</x:v>
      </x:c>
      <x:c r="D285" s="176" t="str">
        <x:v>ohcpp-shared-ptr-race-candidate-001 / CWE-362</x:v>
      </x:c>
      <x:c r="E285" s="176" t="str">
        <x:v>moviefile/include/pipeline/producer/unified_pipeline_audio_capture_wrap.h:75
符号：audioCapturer_</x:v>
      </x:c>
      <x:c r="F285" s="176" t="str">
        <x:v>未运行目标派生 harness；Docker 内通用 TSan 正控 3/3 稳定检出数据竞争，原子固定对照 3/3 干净。
方法控制不证明抽样组件存在竞态。</x:v>
      </x:c>
      <x:c r="G285" s="195" t="str">
        <x:v>not_testable</x:v>
      </x:c>
      <x:c r="H28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5" s="191" t="str">
        <x:f>IFERROR(HYPERLINK("file:///D:/openHarmonyScanner/outputs/01a14d00-bc78-7ac2-9520-210d4b92b1ac/poc/index.json","无专用 PoC"),"无专用 PoC")</x:f>
        <x:v>无专用 PoC</x:v>
      </x:c>
    </x:row>
    <x:row r="286" ht="58" customHeight="1">
      <x:c r="A286" s="175" t="str">
        <x:v>multimedia_camera_framework
openharmony/multimedia_camera_framework
CR-0281</x:v>
      </x:c>
      <x:c r="B286" s="176" t="str">
        <x:v>ohscanner.cpp.shared_ptr_race</x:v>
      </x:c>
      <x:c r="C286" s="196" t="str">
        <x:v>高优先级</x:v>
      </x:c>
      <x:c r="D286" s="176" t="str">
        <x:v>ohcpp-shared-ptr-race-candidate-001 / CWE-362</x:v>
      </x:c>
      <x:c r="E286" s="176" t="str">
        <x:v>moviefile/include/pipeline/producer/unified_pipeline_audio_capture_wrap.h:81
符号：audioCapturer_</x:v>
      </x:c>
      <x:c r="F286" s="176" t="str">
        <x:v>未运行目标派生 harness；Docker 内通用 TSan 正控 3/3 稳定检出数据竞争，原子固定对照 3/3 干净。
方法控制不证明抽样组件存在竞态。</x:v>
      </x:c>
      <x:c r="G286" s="195" t="str">
        <x:v>not_testable</x:v>
      </x:c>
      <x:c r="H28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6" s="191" t="str">
        <x:f>IFERROR(HYPERLINK("file:///D:/openHarmonyScanner/outputs/01a14d00-bc78-7ac2-9520-210d4b92b1ac/poc/index.json","无专用 PoC"),"无专用 PoC")</x:f>
        <x:v>无专用 PoC</x:v>
      </x:c>
    </x:row>
    <x:row r="287" ht="58" customHeight="1">
      <x:c r="A287" s="175" t="str">
        <x:v>multimedia_camera_framework
openharmony/multimedia_camera_framework
CR-0282</x:v>
      </x:c>
      <x:c r="B287" s="176" t="str">
        <x:v>ohscanner.cpp.shared_ptr_race</x:v>
      </x:c>
      <x:c r="C287" s="196" t="str">
        <x:v>高优先级</x:v>
      </x:c>
      <x:c r="D287" s="176" t="str">
        <x:v>ohcpp-shared-ptr-race-candidate-001 / CWE-362</x:v>
      </x:c>
      <x:c r="E287" s="176" t="str">
        <x:v>moviefile/include/pipeline/producer/unified_pipeline_audio_capture_wrap.h:86
符号：audioCapturer_</x:v>
      </x:c>
      <x:c r="F287" s="176" t="str">
        <x:v>未运行目标派生 harness；Docker 内通用 TSan 正控 3/3 稳定检出数据竞争，原子固定对照 3/3 干净。
方法控制不证明抽样组件存在竞态。</x:v>
      </x:c>
      <x:c r="G287" s="195" t="str">
        <x:v>not_testable</x:v>
      </x:c>
      <x:c r="H28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7" s="191" t="str">
        <x:f>IFERROR(HYPERLINK("file:///D:/openHarmonyScanner/outputs/01a14d00-bc78-7ac2-9520-210d4b92b1ac/poc/index.json","无专用 PoC"),"无专用 PoC")</x:f>
        <x:v>无专用 PoC</x:v>
      </x:c>
    </x:row>
    <x:row r="288" ht="58" customHeight="1">
      <x:c r="A288" s="175" t="str">
        <x:v>multimedia_camera_framework
openharmony/multimedia_camera_framework
CR-0283</x:v>
      </x:c>
      <x:c r="B288" s="176" t="str">
        <x:v>ohscanner.cpp.shared_ptr_race</x:v>
      </x:c>
      <x:c r="C288" s="196" t="str">
        <x:v>高优先级</x:v>
      </x:c>
      <x:c r="D288" s="176" t="str">
        <x:v>ohcpp-shared-ptr-race-candidate-001 / CWE-362</x:v>
      </x:c>
      <x:c r="E288" s="176" t="str">
        <x:v>moviefile/include/pipeline/producer/unified_pipeline_audio_capture_wrap.h:87
符号：audioCapturer_</x:v>
      </x:c>
      <x:c r="F288" s="176" t="str">
        <x:v>未运行目标派生 harness；Docker 内通用 TSan 正控 3/3 稳定检出数据竞争，原子固定对照 3/3 干净。
方法控制不证明抽样组件存在竞态。</x:v>
      </x:c>
      <x:c r="G288" s="195" t="str">
        <x:v>not_testable</x:v>
      </x:c>
      <x:c r="H28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8" s="191" t="str">
        <x:f>IFERROR(HYPERLINK("file:///D:/openHarmonyScanner/outputs/01a14d00-bc78-7ac2-9520-210d4b92b1ac/poc/index.json","无专用 PoC"),"无专用 PoC")</x:f>
        <x:v>无专用 PoC</x:v>
      </x:c>
    </x:row>
    <x:row r="289" ht="58" customHeight="1">
      <x:c r="A289" s="175" t="str">
        <x:v>multimedia_camera_framework
openharmony/multimedia_camera_framework
CR-0284</x:v>
      </x:c>
      <x:c r="B289" s="176" t="str">
        <x:v>ohscanner.cpp.shared_ptr_race</x:v>
      </x:c>
      <x:c r="C289" s="196" t="str">
        <x:v>高优先级</x:v>
      </x:c>
      <x:c r="D289" s="176" t="str">
        <x:v>ohcpp-shared-ptr-race-candidate-001 / CWE-362</x:v>
      </x:c>
      <x:c r="E289" s="176" t="str">
        <x:v>moviefile/include/pipeline/producer/unified_pipeline_audio_capture_wrap.h:205
符号：wrapPtr_</x:v>
      </x:c>
      <x:c r="F289" s="176" t="str">
        <x:v>未运行目标派生 harness；Docker 内通用 TSan 正控 3/3 稳定检出数据竞争，原子固定对照 3/3 干净。
方法控制不证明抽样组件存在竞态。</x:v>
      </x:c>
      <x:c r="G289" s="195" t="str">
        <x:v>not_testable</x:v>
      </x:c>
      <x:c r="H28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89" s="191" t="str">
        <x:f>IFERROR(HYPERLINK("file:///D:/openHarmonyScanner/outputs/01a14d00-bc78-7ac2-9520-210d4b92b1ac/poc/index.json","无专用 PoC"),"无专用 PoC")</x:f>
        <x:v>无专用 PoC</x:v>
      </x:c>
    </x:row>
    <x:row r="290" ht="58" customHeight="1">
      <x:c r="A290" s="175" t="str">
        <x:v>multimedia_camera_framework
openharmony/multimedia_camera_framework
CR-0285</x:v>
      </x:c>
      <x:c r="B290" s="176" t="str">
        <x:v>ohscanner.cpp.shared_ptr_race</x:v>
      </x:c>
      <x:c r="C290" s="196" t="str">
        <x:v>高优先级</x:v>
      </x:c>
      <x:c r="D290" s="176" t="str">
        <x:v>ohcpp-shared-ptr-race-candidate-001 / CWE-362</x:v>
      </x:c>
      <x:c r="E290" s="176" t="str">
        <x:v>moviefile/include/pipeline/producer/unified_pipeline_audio_capture_wrap.h:220
符号：wrapPtr_</x:v>
      </x:c>
      <x:c r="F290" s="176" t="str">
        <x:v>未运行目标派生 harness；Docker 内通用 TSan 正控 3/3 稳定检出数据竞争，原子固定对照 3/3 干净。
方法控制不证明抽样组件存在竞态。</x:v>
      </x:c>
      <x:c r="G290" s="195" t="str">
        <x:v>not_testable</x:v>
      </x:c>
      <x:c r="H29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90" s="191" t="str">
        <x:f>IFERROR(HYPERLINK("file:///D:/openHarmonyScanner/outputs/01a14d00-bc78-7ac2-9520-210d4b92b1ac/poc/index.json","无专用 PoC"),"无专用 PoC")</x:f>
        <x:v>无专用 PoC</x:v>
      </x:c>
    </x:row>
    <x:row r="291" ht="58" customHeight="1">
      <x:c r="A291" s="175" t="str">
        <x:v>multimedia_camera_framework
openharmony/multimedia_camera_framework
CR-0286</x:v>
      </x:c>
      <x:c r="B291" s="176" t="str">
        <x:v>ohscanner.cpp.shared_ptr_race</x:v>
      </x:c>
      <x:c r="C291" s="196" t="str">
        <x:v>高优先级</x:v>
      </x:c>
      <x:c r="D291" s="176" t="str">
        <x:v>ohcpp-shared-ptr-race-candidate-001 / CWE-362</x:v>
      </x:c>
      <x:c r="E291" s="176" t="str">
        <x:v>services/camera_service/include/camera_rotate_strategy_parser.h:40
符号：curNode_</x:v>
      </x:c>
      <x:c r="F291" s="176" t="str">
        <x:v>未运行目标派生 harness；Docker 内通用 TSan 正控 3/3 稳定检出数据竞争，原子固定对照 3/3 干净。
方法控制不证明抽样组件存在竞态。</x:v>
      </x:c>
      <x:c r="G291" s="195" t="str">
        <x:v>not_testable</x:v>
      </x:c>
      <x:c r="H29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91" s="191" t="str">
        <x:f>IFERROR(HYPERLINK("file:///D:/openHarmonyScanner/outputs/01a14d00-bc78-7ac2-9520-210d4b92b1ac/poc/index.json","无专用 PoC"),"无专用 PoC")</x:f>
        <x:v>无专用 PoC</x:v>
      </x:c>
    </x:row>
    <x:row r="292" ht="58" customHeight="1">
      <x:c r="A292" s="175" t="str">
        <x:v>multimedia_camera_framework
openharmony/multimedia_camera_framework
CR-0287</x:v>
      </x:c>
      <x:c r="B292" s="176" t="str">
        <x:v>ohscanner.cpp.shared_ptr_race</x:v>
      </x:c>
      <x:c r="C292" s="196" t="str">
        <x:v>高优先级</x:v>
      </x:c>
      <x:c r="D292" s="176" t="str">
        <x:v>ohcpp-shared-ptr-race-candidate-001 / CWE-362</x:v>
      </x:c>
      <x:c r="E292" s="176" t="str">
        <x:v>services/camera_service/include/camera_rotate_strategy_parser.h:48
符号：curNode_</x:v>
      </x:c>
      <x:c r="F292" s="176" t="str">
        <x:v>未运行目标派生 harness；Docker 内通用 TSan 正控 3/3 稳定检出数据竞争，原子固定对照 3/3 干净。
方法控制不证明抽样组件存在竞态。</x:v>
      </x:c>
      <x:c r="G292" s="195" t="str">
        <x:v>not_testable</x:v>
      </x:c>
      <x:c r="H29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92" s="191" t="str">
        <x:f>IFERROR(HYPERLINK("file:///D:/openHarmonyScanner/outputs/01a14d00-bc78-7ac2-9520-210d4b92b1ac/poc/index.json","无专用 PoC"),"无专用 PoC")</x:f>
        <x:v>无专用 PoC</x:v>
      </x:c>
    </x:row>
    <x:row r="293" ht="58" customHeight="1">
      <x:c r="A293" s="175" t="str">
        <x:v>multimedia_camera_framework
openharmony/multimedia_camera_framework
CR-0288</x:v>
      </x:c>
      <x:c r="B293" s="176" t="str">
        <x:v>ohscanner.cpp.shared_ptr_race</x:v>
      </x:c>
      <x:c r="C293" s="196" t="str">
        <x:v>高优先级</x:v>
      </x:c>
      <x:c r="D293" s="176" t="str">
        <x:v>ohcpp-shared-ptr-race-candidate-001 / CWE-362</x:v>
      </x:c>
      <x:c r="E293" s="176" t="str">
        <x:v>services/deferred_processing_service/include/schedule/video_processor/deferred_video_controller.h:38
符号：videoProcessor_</x:v>
      </x:c>
      <x:c r="F293" s="176" t="str">
        <x:v>未运行目标派生 harness；Docker 内通用 TSan 正控 3/3 稳定检出数据竞争，原子固定对照 3/3 干净。
方法控制不证明抽样组件存在竞态。</x:v>
      </x:c>
      <x:c r="G293" s="195" t="str">
        <x:v>not_testable</x:v>
      </x:c>
      <x:c r="H29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93" s="191" t="str">
        <x:f>IFERROR(HYPERLINK("file:///D:/openHarmonyScanner/outputs/01a14d00-bc78-7ac2-9520-210d4b92b1ac/poc/index.json","无专用 PoC"),"无专用 PoC")</x:f>
        <x:v>无专用 PoC</x:v>
      </x:c>
    </x:row>
    <x:row r="294" ht="58" customHeight="1">
      <x:c r="A294" s="175" t="str">
        <x:v>multimedia_camera_framework
openharmony/multimedia_camera_framework
CR-0289</x:v>
      </x:c>
      <x:c r="B294" s="176" t="str">
        <x:v>ohscanner.cpp.shared_ptr_race</x:v>
      </x:c>
      <x:c r="C294" s="196" t="str">
        <x:v>高优先级</x:v>
      </x:c>
      <x:c r="D294" s="176" t="str">
        <x:v>ohcpp-shared-ptr-race-candidate-001 / CWE-362</x:v>
      </x:c>
      <x:c r="E294" s="176" t="str">
        <x:v>services/deferred_processing_service/include/schedule/video_processor/deferred_video_processor.h:65
符号：repository_</x:v>
      </x:c>
      <x:c r="F294" s="176" t="str">
        <x:v>未运行目标派生 harness；Docker 内通用 TSan 正控 3/3 稳定检出数据竞争，原子固定对照 3/3 干净。
方法控制不证明抽样组件存在竞态。</x:v>
      </x:c>
      <x:c r="G294" s="195" t="str">
        <x:v>not_testable</x:v>
      </x:c>
      <x:c r="H29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94" s="191" t="str">
        <x:f>IFERROR(HYPERLINK("file:///D:/openHarmonyScanner/outputs/01a14d00-bc78-7ac2-9520-210d4b92b1ac/poc/index.json","无专用 PoC"),"无专用 PoC")</x:f>
        <x:v>无专用 PoC</x:v>
      </x:c>
    </x:row>
    <x:row r="295" ht="58" customHeight="1">
      <x:c r="A295" s="175" t="str">
        <x:v>multimedia_camera_framework
openharmony/multimedia_camera_framework
CR-0290</x:v>
      </x:c>
      <x:c r="B295" s="176" t="str">
        <x:v>ohscanner.cpp.shared_ptr_race</x:v>
      </x:c>
      <x:c r="C295" s="196" t="str">
        <x:v>高优先级</x:v>
      </x:c>
      <x:c r="D295" s="176" t="str">
        <x:v>ohcpp-shared-ptr-race-candidate-001 / CWE-362</x:v>
      </x:c>
      <x:c r="E295" s="176" t="str">
        <x:v>services/deferred_processing_service/include/schedule/video_processor/deferred_video_processor.h:70
符号：postProcessor_</x:v>
      </x:c>
      <x:c r="F295" s="176" t="str">
        <x:v>未运行目标派生 harness；Docker 内通用 TSan 正控 3/3 稳定检出数据竞争，原子固定对照 3/3 干净。
方法控制不证明抽样组件存在竞态。</x:v>
      </x:c>
      <x:c r="G295" s="195" t="str">
        <x:v>not_testable</x:v>
      </x:c>
      <x:c r="H29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295" s="191" t="str">
        <x:f>IFERROR(HYPERLINK("file:///D:/openHarmonyScanner/outputs/01a14d00-bc78-7ac2-9520-210d4b92b1ac/poc/index.json","无专用 PoC"),"无专用 PoC")</x:f>
        <x:v>无专用 PoC</x:v>
      </x:c>
    </x:row>
    <x:row r="296" ht="58" customHeight="1">
      <x:c r="A296" s="175" t="str">
        <x:v>multimedia_camera_framework
openharmony/multimedia_camera_framework
CR-0291</x:v>
      </x:c>
      <x:c r="B296" s="176" t="str">
        <x:v>ohscanner.interface.ipc</x:v>
      </x:c>
      <x:c r="C296" s="182" t="str">
        <x:v>普通优先级</x:v>
      </x:c>
      <x:c r="D296" s="176" t="str">
        <x:v>ipc.relay.descriptor-boundary / CWE-441</x:v>
      </x:c>
      <x:c r="E296" s="176" t="str">
        <x:v>services/camera_service/binder/server/src/hstream_capture_photo_callback_stub.cpp:32
符号：HStreamCapturePhotoCallbackStub::OnRemoteRequest</x:v>
      </x:c>
      <x:c r="F296" s="176" t="str">
        <x:v>未运行目标派生 harness；通用 sanitizer 控制仅验证方法可用，不能替代产品入口、权限边界和 CIA 影响证明。</x:v>
      </x:c>
      <x:c r="G296" s="195" t="str">
        <x:v>not_testable</x:v>
      </x:c>
      <x:c r="H296" s="176" t="str">
        <x:v>1) 补充 descriptor 解析边界、输入长度与目标缓冲区容量的完整数据流
2) 证明真实 IPC 入口、可控触发条件和具体 CIA 影响</x:v>
      </x:c>
      <x:c r="I296" s="191" t="str">
        <x:f>IFERROR(HYPERLINK("file:///D:/openHarmonyScanner/outputs/01a14d00-bc78-7ac2-9520-210d4b92b1ac/poc/index.json","无专用 PoC"),"无专用 PoC")</x:f>
        <x:v>无专用 PoC</x:v>
      </x:c>
    </x:row>
    <x:row r="297" ht="58" customHeight="1">
      <x:c r="A297" s="175" t="str">
        <x:v>multimedia_camera_framework
openharmony/multimedia_camera_framework
CR-0292</x:v>
      </x:c>
      <x:c r="B297" s="176" t="str">
        <x:v>ohscanner.interface.ipc</x:v>
      </x:c>
      <x:c r="C297" s="182" t="str">
        <x:v>普通优先级</x:v>
      </x:c>
      <x:c r="D297" s="176" t="str">
        <x:v>ipc.relay.descriptor-boundary / CWE-441</x:v>
      </x:c>
      <x:c r="E297" s="176" t="str">
        <x:v>services/camera_service/binder/server/src/hstream_capture_photo_callback_stub.cpp:41
符号：HStreamCapturePhotoCallbackStub::OnRemoteRequest</x:v>
      </x:c>
      <x:c r="F297" s="176" t="str">
        <x:v>未运行目标派生 harness；通用 sanitizer 控制仅验证方法可用，不能替代产品入口、权限边界和 CIA 影响证明。</x:v>
      </x:c>
      <x:c r="G297" s="195" t="str">
        <x:v>not_testable</x:v>
      </x:c>
      <x:c r="H297" s="176" t="str">
        <x:v>1) 补充 descriptor 解析边界、输入长度与目标缓冲区容量的完整数据流
2) 证明真实 IPC 入口、可控触发条件和具体 CIA 影响</x:v>
      </x:c>
      <x:c r="I297" s="191" t="str">
        <x:f>IFERROR(HYPERLINK("file:///D:/openHarmonyScanner/outputs/01a14d00-bc78-7ac2-9520-210d4b92b1ac/poc/index.json","无专用 PoC"),"无专用 PoC")</x:f>
        <x:v>无专用 PoC</x:v>
      </x:c>
    </x:row>
    <x:row r="298" ht="58" customHeight="1">
      <x:c r="A298" s="175" t="str">
        <x:v>multimedia_camera_framework
openharmony/multimedia_camera_framework
CR-0293</x:v>
      </x:c>
      <x:c r="B298" s="176" t="str">
        <x:v>ohscanner.interface.ipc</x:v>
      </x:c>
      <x:c r="C298" s="182" t="str">
        <x:v>普通优先级</x:v>
      </x:c>
      <x:c r="D298" s="176" t="str">
        <x:v>ipc.relay.descriptor-boundary / CWE-441</x:v>
      </x:c>
      <x:c r="E298" s="176" t="str">
        <x:v>services/camera_service/binder/server/src/hstream_capture_photo_callback_stub.cpp:65
符号：HStreamCapturePhotoCallbackStub::HandleOnPhotoAvailable</x:v>
      </x:c>
      <x:c r="F298" s="176" t="str">
        <x:v>未运行目标派生 harness；通用 sanitizer 控制仅验证方法可用，不能替代产品入口、权限边界和 CIA 影响证明。</x:v>
      </x:c>
      <x:c r="G298" s="195" t="str">
        <x:v>not_testable</x:v>
      </x:c>
      <x:c r="H298" s="176" t="str">
        <x:v>1) 补充 descriptor 解析边界、输入长度与目标缓冲区容量的完整数据流
2) 证明真实 IPC 入口、可控触发条件和具体 CIA 影响</x:v>
      </x:c>
      <x:c r="I298" s="191" t="str">
        <x:f>IFERROR(HYPERLINK("file:///D:/openHarmonyScanner/outputs/01a14d00-bc78-7ac2-9520-210d4b92b1ac/poc/index.json","无专用 PoC"),"无专用 PoC")</x:f>
        <x:v>无专用 PoC</x:v>
      </x:c>
    </x:row>
    <x:row r="299" ht="58" customHeight="1">
      <x:c r="A299" s="175" t="str">
        <x:v>multimedia_camera_framework
openharmony/multimedia_camera_framework
CR-0294</x:v>
      </x:c>
      <x:c r="B299" s="176" t="str">
        <x:v>ohscanner.interface.ipc</x:v>
      </x:c>
      <x:c r="C299" s="182" t="str">
        <x:v>普通优先级</x:v>
      </x:c>
      <x:c r="D299" s="176" t="str">
        <x:v>ipc.relay.descriptor-boundary / CWE-441</x:v>
      </x:c>
      <x:c r="E299" s="176" t="str">
        <x:v>services/camera_service/binder/server/src/hstream_capture_photo_callback_stub.cpp:103
符号：HStreamCapturePhotoCallbackStub::HandleOnPhotoAvailableWithAuxiliary</x:v>
      </x:c>
      <x:c r="F299" s="176" t="str">
        <x:v>未运行目标派生 harness；通用 sanitizer 控制仅验证方法可用，不能替代产品入口、权限边界和 CIA 影响证明。</x:v>
      </x:c>
      <x:c r="G299" s="195" t="str">
        <x:v>not_testable</x:v>
      </x:c>
      <x:c r="H299" s="176" t="str">
        <x:v>1) 补充 descriptor 解析边界、输入长度与目标缓冲区容量的完整数据流
2) 证明真实 IPC 入口、可控触发条件和具体 CIA 影响</x:v>
      </x:c>
      <x:c r="I299" s="191" t="str">
        <x:f>IFERROR(HYPERLINK("file:///D:/openHarmonyScanner/outputs/01a14d00-bc78-7ac2-9520-210d4b92b1ac/poc/index.json","无专用 PoC"),"无专用 PoC")</x:f>
        <x:v>无专用 PoC</x:v>
      </x:c>
    </x:row>
    <x:row r="300" ht="58" customHeight="1">
      <x:c r="A300" s="175" t="str">
        <x:v>multimedia_camera_framework
openharmony/multimedia_camera_framework
CR-0295</x:v>
      </x:c>
      <x:c r="B300" s="176" t="str">
        <x:v>ohscanner.interface.ipc</x:v>
      </x:c>
      <x:c r="C300" s="182" t="str">
        <x:v>普通优先级</x:v>
      </x:c>
      <x:c r="D300" s="176" t="str">
        <x:v>ipc.relay.descriptor-boundary / CWE-441</x:v>
      </x:c>
      <x:c r="E300" s="176" t="str">
        <x:v>services/camera_service/binder/server/src/hstream_capture_thumbnail_callback_stub.cpp:30
符号：HStreamCaptureThumbnailCallbackStub::OnRemoteRequest</x:v>
      </x:c>
      <x:c r="F300" s="176" t="str">
        <x:v>未运行目标派生 harness；通用 sanitizer 控制仅验证方法可用，不能替代产品入口、权限边界和 CIA 影响证明。</x:v>
      </x:c>
      <x:c r="G300" s="195" t="str">
        <x:v>not_testable</x:v>
      </x:c>
      <x:c r="H300" s="176" t="str">
        <x:v>1) 补充 descriptor 解析边界、输入长度与目标缓冲区容量的完整数据流
2) 证明真实 IPC 入口、可控触发条件和具体 CIA 影响</x:v>
      </x:c>
      <x:c r="I300" s="191" t="str">
        <x:f>IFERROR(HYPERLINK("file:///D:/openHarmonyScanner/outputs/01a14d00-bc78-7ac2-9520-210d4b92b1ac/poc/index.json","无专用 PoC"),"无专用 PoC")</x:f>
        <x:v>无专用 PoC</x:v>
      </x:c>
    </x:row>
    <x:row r="301" ht="58" customHeight="1">
      <x:c r="A301" s="175" t="str">
        <x:v>multimedia_camera_framework
openharmony/multimedia_camera_framework
CR-0296</x:v>
      </x:c>
      <x:c r="B301" s="176" t="str">
        <x:v>ohscanner.interface.ipc</x:v>
      </x:c>
      <x:c r="C301" s="182" t="str">
        <x:v>普通优先级</x:v>
      </x:c>
      <x:c r="D301" s="176" t="str">
        <x:v>ipc.relay.descriptor-boundary / CWE-441</x:v>
      </x:c>
      <x:c r="E301" s="176" t="str">
        <x:v>services/camera_service/binder/server/src/hstream_capture_thumbnail_callback_stub.cpp:53
符号：HStreamCaptureThumbnailCallbackStub::HandleOnThumbnailAvailable</x:v>
      </x:c>
      <x:c r="F301" s="176" t="str">
        <x:v>未运行目标派生 harness；通用 sanitizer 控制仅验证方法可用，不能替代产品入口、权限边界和 CIA 影响证明。</x:v>
      </x:c>
      <x:c r="G301" s="195" t="str">
        <x:v>not_testable</x:v>
      </x:c>
      <x:c r="H301" s="176" t="str">
        <x:v>1) 补充 descriptor 解析边界、输入长度与目标缓冲区容量的完整数据流
2) 证明真实 IPC 入口、可控触发条件和具体 CIA 影响</x:v>
      </x:c>
      <x:c r="I301" s="191" t="str">
        <x:f>IFERROR(HYPERLINK("file:///D:/openHarmonyScanner/outputs/01a14d00-bc78-7ac2-9520-210d4b92b1ac/poc/index.json","无专用 PoC"),"无专用 PoC")</x:f>
        <x:v>无专用 PoC</x:v>
      </x:c>
    </x:row>
    <x:row r="302" ht="58" customHeight="1">
      <x:c r="A302" s="175" t="str">
        <x:v>multimedia_camera_framework
openharmony/multimedia_camera_framework
CR-0297</x:v>
      </x:c>
      <x:c r="B302" s="176" t="str">
        <x:v>ohscanner.interface.ipc</x:v>
      </x:c>
      <x:c r="C302" s="182" t="str">
        <x:v>普通优先级</x:v>
      </x:c>
      <x:c r="D302" s="176" t="str">
        <x:v>ipc.relay.descriptor-boundary / CWE-441</x:v>
      </x:c>
      <x:c r="E302" s="176" t="str">
        <x:v>services/camera_service/binder/server/src/window_manager_service_callback_stub_impl/hcamera_window_manager_callback_stub.cpp:30
符号：CameraWindowManagerAgentStub::OnRemoteRequest</x:v>
      </x:c>
      <x:c r="F302" s="176" t="str">
        <x:v>未运行目标派生 harness；通用 sanitizer 控制仅验证方法可用，不能替代产品入口、权限边界和 CIA 影响证明。</x:v>
      </x:c>
      <x:c r="G302" s="195" t="str">
        <x:v>not_testable</x:v>
      </x:c>
      <x:c r="H302" s="176" t="str">
        <x:v>1) 补充 descriptor 解析边界、输入长度与目标缓冲区容量的完整数据流
2) 证明真实 IPC 入口、可控触发条件和具体 CIA 影响</x:v>
      </x:c>
      <x:c r="I302" s="191" t="str">
        <x:f>IFERROR(HYPERLINK("file:///D:/openHarmonyScanner/outputs/01a14d00-bc78-7ac2-9520-210d4b92b1ac/poc/index.json","无专用 PoC"),"无专用 PoC")</x:f>
        <x:v>无专用 PoC</x:v>
      </x:c>
    </x:row>
    <x:row r="303" ht="58" customHeight="1">
      <x:c r="A303" s="175" t="str">
        <x:v>multimedia_camera_framework
openharmony/multimedia_camera_framework
CR-0298</x:v>
      </x:c>
      <x:c r="B303" s="176" t="str">
        <x:v>ohscanner.interface.ipc</x:v>
      </x:c>
      <x:c r="C303" s="196" t="str">
        <x:v>高优先级</x:v>
      </x:c>
      <x:c r="D303" s="176" t="str">
        <x:v>ipc.auth.guard-coverage / CWE-863</x:v>
      </x:c>
      <x:c r="E303" s="176" t="str">
        <x:v>services/camera_service/src/hcamera_service.cpp:1099
符号：HCameraService::CreateCameraDevice</x:v>
      </x:c>
      <x:c r="F303" s="176" t="str">
        <x:v>未运行目标派生 harness；通用 sanitizer 控制仅验证方法可用，不能替代产品入口、权限边界和 CIA 影响证明。</x:v>
      </x:c>
      <x:c r="G303" s="195" t="str">
        <x:v>not_testable</x:v>
      </x:c>
      <x:c r="H303" s="176" t="str">
        <x:v>1) 建立 Binder/IPC 入口、调用者 UID/PID/权限域与 upstream policy 的完整链路
2) 证明缺失 guard 支配所有到敏感操作的可达路径，而非仅局部函数片段
3) 证明攻击者可控输入可绕过授权并产生具体 CIA 影响</x:v>
      </x:c>
      <x:c r="I303" s="191" t="str">
        <x:f>IFERROR(HYPERLINK("file:///D:/openHarmonyScanner/outputs/01a14d00-bc78-7ac2-9520-210d4b92b1ac/poc/index.json","无专用 PoC"),"无专用 PoC")</x:f>
        <x:v>无专用 PoC</x:v>
      </x:c>
    </x:row>
    <x:row r="304" ht="58" customHeight="1">
      <x:c r="A304" s="175" t="str">
        <x:v>multimedia_camera_framework
openharmony/multimedia_camera_framework
CR-0299</x:v>
      </x:c>
      <x:c r="B304" s="176" t="str">
        <x:v>ohscanner.interface.ipc</x:v>
      </x:c>
      <x:c r="C304" s="196" t="str">
        <x:v>高优先级</x:v>
      </x:c>
      <x:c r="D304" s="176" t="str">
        <x:v>ipc.auth.missing / CWE-862</x:v>
      </x:c>
      <x:c r="E304" s="176" t="str">
        <x:v>services/camera_service/src/hcamera_service.cpp:1099
符号：HCameraService::CreateCameraDevice</x:v>
      </x:c>
      <x:c r="F304" s="176" t="str">
        <x:v>未运行目标派生 harness；通用 sanitizer 控制仅验证方法可用，不能替代产品入口、权限边界和 CIA 影响证明。</x:v>
      </x:c>
      <x:c r="G304" s="195" t="str">
        <x:v>not_testable</x:v>
      </x:c>
      <x:c r="H304" s="176" t="str">
        <x:v>1) 建立 Binder/IPC 入口、调用者 UID/PID/权限域与 upstream policy 的完整链路
2) 证明缺失 guard 支配所有到敏感操作的可达路径，而非仅局部函数片段
3) 证明攻击者可控输入可绕过授权并产生具体 CIA 影响</x:v>
      </x:c>
      <x:c r="I304" s="191" t="str">
        <x:f>IFERROR(HYPERLINK("file:///D:/openHarmonyScanner/outputs/01a14d00-bc78-7ac2-9520-210d4b92b1ac/poc/index.json","无专用 PoC"),"无专用 PoC")</x:f>
        <x:v>无专用 PoC</x:v>
      </x:c>
    </x:row>
    <x:row r="305" ht="58" customHeight="1">
      <x:c r="A305" s="175" t="str">
        <x:v>developtools_hapsigner
openharmony/developtools_hapsigner
CR-0300</x:v>
      </x:c>
      <x:c r="B305" s="176" t="str">
        <x:v>ohscanner.cpp.shared_ptr_race</x:v>
      </x:c>
      <x:c r="C305" s="196" t="str">
        <x:v>高优先级</x:v>
      </x:c>
      <x:c r="D305" s="176" t="str">
        <x:v>ohcpp-shared-ptr-race-candidate-001 / CWE-362</x:v>
      </x:c>
      <x:c r="E305" s="176" t="str">
        <x:v>binary_sign_tool/hap/sign/include/elf_sign_context.h:46
符号：convertor</x:v>
      </x:c>
      <x:c r="F305" s="176" t="str">
        <x:v>未运行目标派生 harness；Docker 内通用 TSan 正控 3/3 稳定检出数据竞争，原子固定对照 3/3 干净。
方法控制不证明抽样组件存在竞态。</x:v>
      </x:c>
      <x:c r="G305" s="195" t="str">
        <x:v>not_testable</x:v>
      </x:c>
      <x:c r="H30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05" s="191" t="str">
        <x:f>IFERROR(HYPERLINK("file:///D:/openHarmonyScanner/outputs/01a14d00-bc78-7ac2-9520-210d4b92b1ac/poc/index.json","无专用 PoC"),"无专用 PoC")</x:f>
        <x:v>无专用 PoC</x:v>
      </x:c>
    </x:row>
    <x:row r="306" ht="58" customHeight="1">
      <x:c r="A306" s="175" t="str">
        <x:v>ai_intelligent_voice_framework
openharmony/ai_intelligent_voice_framework
CR-0301</x:v>
      </x:c>
      <x:c r="B306" s="176" t="str">
        <x:v>ohscanner.cpp.shared_ptr_race</x:v>
      </x:c>
      <x:c r="C306" s="196" t="str">
        <x:v>高优先级</x:v>
      </x:c>
      <x:c r="D306" s="176" t="str">
        <x:v>ohcpp-shared-ptr-race-candidate-001 / CWE-362</x:v>
      </x:c>
      <x:c r="E306" s="176" t="str">
        <x:v>services/intell_voice_engine/server/base/adapter_callback_service.h:28
符号：listener_</x:v>
      </x:c>
      <x:c r="F306" s="176" t="str">
        <x:v>未运行目标派生 harness；Docker 内通用 TSan 正控 3/3 稳定检出数据竞争，原子固定对照 3/3 干净。
方法控制不证明抽样组件存在竞态。</x:v>
      </x:c>
      <x:c r="G306" s="195" t="str">
        <x:v>not_testable</x:v>
      </x:c>
      <x:c r="H30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06" s="191" t="str">
        <x:f>IFERROR(HYPERLINK("file:///D:/openHarmonyScanner/outputs/01a14d00-bc78-7ac2-9520-210d4b92b1ac/poc/index.json","无专用 PoC"),"无专用 PoC")</x:f>
        <x:v>无专用 PoC</x:v>
      </x:c>
    </x:row>
    <x:row r="307" ht="58" customHeight="1">
      <x:c r="A307" s="175" t="str">
        <x:v>ai_intelligent_voice_framework
openharmony/ai_intelligent_voice_framework
CR-0302</x:v>
      </x:c>
      <x:c r="B307" s="176" t="str">
        <x:v>ohscanner.cpp.shared_ptr_race</x:v>
      </x:c>
      <x:c r="C307" s="196" t="str">
        <x:v>高优先级</x:v>
      </x:c>
      <x:c r="D307" s="176" t="str">
        <x:v>ohcpp-shared-ptr-race-candidate-001 / CWE-362</x:v>
      </x:c>
      <x:c r="E307" s="176" t="str">
        <x:v>services/intell_voice_engine/server/base/engine_util.h:77
符号：adapter_</x:v>
      </x:c>
      <x:c r="F307" s="176" t="str">
        <x:v>未运行目标派生 harness；Docker 内通用 TSan 正控 3/3 稳定检出数据竞争，原子固定对照 3/3 干净。
方法控制不证明抽样组件存在竞态。</x:v>
      </x:c>
      <x:c r="G307" s="195" t="str">
        <x:v>not_testable</x:v>
      </x:c>
      <x:c r="H30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07" s="191" t="str">
        <x:f>IFERROR(HYPERLINK("file:///D:/openHarmonyScanner/outputs/01a14d00-bc78-7ac2-9520-210d4b92b1ac/poc/index.json","无专用 PoC"),"无专用 PoC")</x:f>
        <x:v>无专用 PoC</x:v>
      </x:c>
    </x:row>
    <x:row r="308" ht="58" customHeight="1">
      <x:c r="A308" s="175" t="str">
        <x:v>ai_intelligent_voice_framework
openharmony/ai_intelligent_voice_framework
CR-0303</x:v>
      </x:c>
      <x:c r="B308" s="176" t="str">
        <x:v>ohscanner.cpp.shared_ptr_race</x:v>
      </x:c>
      <x:c r="C308" s="196" t="str">
        <x:v>高优先级</x:v>
      </x:c>
      <x:c r="D308" s="176" t="str">
        <x:v>ohcpp-shared-ptr-race-candidate-001 / CWE-362</x:v>
      </x:c>
      <x:c r="E308" s="176" t="str">
        <x:v>services/intell_voice_engine/server/base/engine_util.h:78
符号：adapter_</x:v>
      </x:c>
      <x:c r="F308" s="176" t="str">
        <x:v>未运行目标派生 harness；Docker 内通用 TSan 正控 3/3 稳定检出数据竞争，原子固定对照 3/3 干净。
方法控制不证明抽样组件存在竞态。</x:v>
      </x:c>
      <x:c r="G308" s="195" t="str">
        <x:v>not_testable</x:v>
      </x:c>
      <x:c r="H30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08" s="191" t="str">
        <x:f>IFERROR(HYPERLINK("file:///D:/openHarmonyScanner/outputs/01a14d00-bc78-7ac2-9520-210d4b92b1ac/poc/index.json","无专用 PoC"),"无专用 PoC")</x:f>
        <x:v>无专用 PoC</x:v>
      </x:c>
    </x:row>
    <x:row r="309" ht="58" customHeight="1">
      <x:c r="A309" s="175" t="str">
        <x:v>ai_intelligent_voice_framework
openharmony/ai_intelligent_voice_framework
CR-0304</x:v>
      </x:c>
      <x:c r="B309" s="176" t="str">
        <x:v>ohscanner.cpp.shared_ptr_race</x:v>
      </x:c>
      <x:c r="C309" s="196" t="str">
        <x:v>高优先级</x:v>
      </x:c>
      <x:c r="D309" s="176" t="str">
        <x:v>ohcpp-shared-ptr-race-candidate-001 / CWE-362</x:v>
      </x:c>
      <x:c r="E309" s="176" t="str">
        <x:v>services/intell_voice_engine/server/base/engine_util.h:86
符号：adapter_</x:v>
      </x:c>
      <x:c r="F309" s="176" t="str">
        <x:v>未运行目标派生 harness；Docker 内通用 TSan 正控 3/3 稳定检出数据竞争，原子固定对照 3/3 干净。
方法控制不证明抽样组件存在竞态。</x:v>
      </x:c>
      <x:c r="G309" s="195" t="str">
        <x:v>not_testable</x:v>
      </x:c>
      <x:c r="H30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09" s="191" t="str">
        <x:f>IFERROR(HYPERLINK("file:///D:/openHarmonyScanner/outputs/01a14d00-bc78-7ac2-9520-210d4b92b1ac/poc/index.json","无专用 PoC"),"无专用 PoC")</x:f>
        <x:v>无专用 PoC</x:v>
      </x:c>
    </x:row>
    <x:row r="310" ht="58" customHeight="1">
      <x:c r="A310" s="175" t="str">
        <x:v>ai_intelligent_voice_framework
openharmony/ai_intelligent_voice_framework
CR-0305</x:v>
      </x:c>
      <x:c r="B310" s="176" t="str">
        <x:v>ohscanner.interface.ipc</x:v>
      </x:c>
      <x:c r="C310" s="196" t="str">
        <x:v>高优先级</x:v>
      </x:c>
      <x:c r="D310" s="176" t="str">
        <x:v>ipc.capability.export / CWE-926（可能后果 CWE-668）</x:v>
      </x:c>
      <x:c r="E310" s="176" t="str">
        <x:v>services/intell_voice_service/server/sa/intell_voice_service_stub.cpp:70
符号：IntellVoiceServiceStub::CreateEngineInner</x:v>
      </x:c>
      <x:c r="F310" s="176" t="str">
        <x:v>未运行目标派生 harness；通用 sanitizer 控制仅验证方法可用，不能替代产品入口、权限边界和 CIA 影响证明。</x:v>
      </x:c>
      <x:c r="G310" s="195" t="str">
        <x:v>not_testable</x:v>
      </x:c>
      <x:c r="H310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310" s="191" t="str">
        <x:f>IFERROR(HYPERLINK("file:///D:/openHarmonyScanner/outputs/01a14d00-bc78-7ac2-9520-210d4b92b1ac/poc/index.json","无专用 PoC"),"无专用 PoC")</x:f>
        <x:v>无专用 PoC</x:v>
      </x:c>
    </x:row>
    <x:row r="311" ht="58" customHeight="1">
      <x:c r="A311" s="175" t="str">
        <x:v>customization_enterprise_device_management
openharmony/customization_enterprise_device_management
CR-0306</x:v>
      </x:c>
      <x:c r="B311" s="176" t="str">
        <x:v>ohscanner.interface.ipc</x:v>
      </x:c>
      <x:c r="C311" s="182" t="str">
        <x:v>普通优先级</x:v>
      </x:c>
      <x:c r="D311" s="176" t="str">
        <x:v>ipc.relay.descriptor-boundary / CWE-441</x:v>
      </x:c>
      <x:c r="E311" s="176" t="str">
        <x:v>services/edm/src/admin_manager.cpp:240
符号：AdminManager::IsAdminExist</x:v>
      </x:c>
      <x:c r="F311" s="176" t="str">
        <x:v>未运行目标派生 harness；通用 sanitizer 控制仅验证方法可用，不能替代产品入口、权限边界和 CIA 影响证明。</x:v>
      </x:c>
      <x:c r="G311" s="195" t="str">
        <x:v>not_testable</x:v>
      </x:c>
      <x:c r="H311" s="176" t="str">
        <x:v>1) 补充 descriptor 解析边界、输入长度与目标缓冲区容量的完整数据流
2) 证明真实 IPC 入口、可控触发条件和具体 CIA 影响</x:v>
      </x:c>
      <x:c r="I311" s="191" t="str">
        <x:f>IFERROR(HYPERLINK("file:///D:/openHarmonyScanner/outputs/01a14d00-bc78-7ac2-9520-210d4b92b1ac/poc/index.json","无专用 PoC"),"无专用 PoC")</x:f>
        <x:v>无专用 PoC</x:v>
      </x:c>
    </x:row>
    <x:row r="312" ht="58" customHeight="1">
      <x:c r="A312" s="175" t="str">
        <x:v>customization_enterprise_device_management
openharmony/customization_enterprise_device_management
CR-0307</x:v>
      </x:c>
      <x:c r="B312" s="176" t="str">
        <x:v>ohscanner.interface.ipc</x:v>
      </x:c>
      <x:c r="C312" s="182" t="str">
        <x:v>普通优先级</x:v>
      </x:c>
      <x:c r="D312" s="176" t="str">
        <x:v>ipc.relay.descriptor-boundary / CWE-441</x:v>
      </x:c>
      <x:c r="E312" s="176" t="str">
        <x:v>services/edm/src/delay_unload_manager.cpp:38
符号：DelayUnloadManager::TryStartDelayUnload</x:v>
      </x:c>
      <x:c r="F312" s="176" t="str">
        <x:v>未运行目标派生 harness；通用 sanitizer 控制仅验证方法可用，不能替代产品入口、权限边界和 CIA 影响证明。</x:v>
      </x:c>
      <x:c r="G312" s="195" t="str">
        <x:v>not_testable</x:v>
      </x:c>
      <x:c r="H312" s="176" t="str">
        <x:v>1) 补充 descriptor 解析边界、输入长度与目标缓冲区容量的完整数据流
2) 证明真实 IPC 入口、可控触发条件和具体 CIA 影响</x:v>
      </x:c>
      <x:c r="I312" s="191" t="str">
        <x:f>IFERROR(HYPERLINK("file:///D:/openHarmonyScanner/outputs/01a14d00-bc78-7ac2-9520-210d4b92b1ac/poc/index.json","无专用 PoC"),"无专用 PoC")</x:f>
        <x:v>无专用 PoC</x:v>
      </x:c>
    </x:row>
    <x:row r="313" ht="58" customHeight="1">
      <x:c r="A313" s="175" t="str">
        <x:v>customization_enterprise_device_management
openharmony/customization_enterprise_device_management
CR-0308</x:v>
      </x:c>
      <x:c r="B313" s="176" t="str">
        <x:v>ohscanner.interface.ipc</x:v>
      </x:c>
      <x:c r="C313" s="182" t="str">
        <x:v>普通优先级</x:v>
      </x:c>
      <x:c r="D313" s="176" t="str">
        <x:v>ipc.relay.descriptor-boundary / CWE-441</x:v>
      </x:c>
      <x:c r="E313" s="176" t="str">
        <x:v>services/edm/src/delay_unload_manager.cpp:42
符号：DelayUnloadManager::TryStartDelayUnload</x:v>
      </x:c>
      <x:c r="F313" s="176" t="str">
        <x:v>未运行目标派生 harness；通用 sanitizer 控制仅验证方法可用，不能替代产品入口、权限边界和 CIA 影响证明。</x:v>
      </x:c>
      <x:c r="G313" s="195" t="str">
        <x:v>not_testable</x:v>
      </x:c>
      <x:c r="H313" s="176" t="str">
        <x:v>1) 补充 descriptor 解析边界、输入长度与目标缓冲区容量的完整数据流
2) 证明真实 IPC 入口、可控触发条件和具体 CIA 影响</x:v>
      </x:c>
      <x:c r="I313" s="191" t="str">
        <x:f>IFERROR(HYPERLINK("file:///D:/openHarmonyScanner/outputs/01a14d00-bc78-7ac2-9520-210d4b92b1ac/poc/index.json","无专用 PoC"),"无专用 PoC")</x:f>
        <x:v>无专用 PoC</x:v>
      </x:c>
    </x:row>
    <x:row r="314" ht="58" customHeight="1">
      <x:c r="A314" s="175" t="str">
        <x:v>customization_enterprise_device_management
openharmony/customization_enterprise_device_management
CR-0309</x:v>
      </x:c>
      <x:c r="B314" s="176" t="str">
        <x:v>ohscanner.interface.ipc</x:v>
      </x:c>
      <x:c r="C314" s="182" t="str">
        <x:v>普通优先级</x:v>
      </x:c>
      <x:c r="D314" s="176" t="str">
        <x:v>ipc.relay.descriptor-boundary / CWE-441</x:v>
      </x:c>
      <x:c r="E314" s="176" t="str">
        <x:v>services/edm/src/enterprise_device_mgr_stub.cpp:63
符号：EnterpriseDeviceMgrStub::OnRemoteRequestIdl</x:v>
      </x:c>
      <x:c r="F314" s="176" t="str">
        <x:v>未运行目标派生 harness；通用 sanitizer 控制仅验证方法可用，不能替代产品入口、权限边界和 CIA 影响证明。</x:v>
      </x:c>
      <x:c r="G314" s="195" t="str">
        <x:v>not_testable</x:v>
      </x:c>
      <x:c r="H314" s="176" t="str">
        <x:v>1) 补充 descriptor 解析边界、输入长度与目标缓冲区容量的完整数据流
2) 证明真实 IPC 入口、可控触发条件和具体 CIA 影响</x:v>
      </x:c>
      <x:c r="I314" s="191" t="str">
        <x:f>IFERROR(HYPERLINK("file:///D:/openHarmonyScanner/outputs/01a14d00-bc78-7ac2-9520-210d4b92b1ac/poc/index.json","无专用 PoC"),"无专用 PoC")</x:f>
        <x:v>无专用 PoC</x:v>
      </x:c>
    </x:row>
    <x:row r="315" ht="58" customHeight="1">
      <x:c r="A315" s="175" t="str">
        <x:v>customization_enterprise_device_management
openharmony/customization_enterprise_device_management
CR-0310</x:v>
      </x:c>
      <x:c r="B315" s="176" t="str">
        <x:v>ohscanner.interface.ipc</x:v>
      </x:c>
      <x:c r="C315" s="182" t="str">
        <x:v>普通优先级</x:v>
      </x:c>
      <x:c r="D315" s="176" t="str">
        <x:v>ipc.relay.descriptor-boundary / CWE-441</x:v>
      </x:c>
      <x:c r="E315" s="176" t="str">
        <x:v>services/edm/src/enterprise_device_mgr_stub.cpp:75
符号：EnterpriseDeviceMgrStub::OnRemoteRequest</x:v>
      </x:c>
      <x:c r="F315" s="176" t="str">
        <x:v>未运行目标派生 harness；通用 sanitizer 控制仅验证方法可用，不能替代产品入口、权限边界和 CIA 影响证明。</x:v>
      </x:c>
      <x:c r="G315" s="195" t="str">
        <x:v>not_testable</x:v>
      </x:c>
      <x:c r="H315" s="176" t="str">
        <x:v>1) 补充 descriptor 解析边界、输入长度与目标缓冲区容量的完整数据流
2) 证明真实 IPC 入口、可控触发条件和具体 CIA 影响</x:v>
      </x:c>
      <x:c r="I315" s="191" t="str">
        <x:f>IFERROR(HYPERLINK("file:///D:/openHarmonyScanner/outputs/01a14d00-bc78-7ac2-9520-210d4b92b1ac/poc/index.json","无专用 PoC"),"无专用 PoC")</x:f>
        <x:v>无专用 PoC</x:v>
      </x:c>
    </x:row>
    <x:row r="316" ht="58" customHeight="1">
      <x:c r="A316" s="175" t="str">
        <x:v>customization_enterprise_device_management
openharmony/customization_enterprise_device_management
CR-0311</x:v>
      </x:c>
      <x:c r="B316" s="176" t="str">
        <x:v>ohscanner.interface.ipc</x:v>
      </x:c>
      <x:c r="C316" s="182" t="str">
        <x:v>普通优先级</x:v>
      </x:c>
      <x:c r="D316" s="176" t="str">
        <x:v>ipc.relay.descriptor-boundary / CWE-441</x:v>
      </x:c>
      <x:c r="E316" s="176" t="str">
        <x:v>services/edm/src/enterprise_device_mgr_stub.cpp:76
符号：EnterpriseDeviceMgrStub::OnRemoteRequest</x:v>
      </x:c>
      <x:c r="F316" s="176" t="str">
        <x:v>未运行目标派生 harness；通用 sanitizer 控制仅验证方法可用，不能替代产品入口、权限边界和 CIA 影响证明。</x:v>
      </x:c>
      <x:c r="G316" s="195" t="str">
        <x:v>not_testable</x:v>
      </x:c>
      <x:c r="H316" s="176" t="str">
        <x:v>1) 补充 descriptor 解析边界、输入长度与目标缓冲区容量的完整数据流
2) 证明真实 IPC 入口、可控触发条件和具体 CIA 影响</x:v>
      </x:c>
      <x:c r="I316" s="191" t="str">
        <x:f>IFERROR(HYPERLINK("file:///D:/openHarmonyScanner/outputs/01a14d00-bc78-7ac2-9520-210d4b92b1ac/poc/index.json","无专用 PoC"),"无专用 PoC")</x:f>
        <x:v>无专用 PoC</x:v>
      </x:c>
    </x:row>
    <x:row r="317" ht="58" customHeight="1">
      <x:c r="A317" s="175" t="str">
        <x:v>customization_enterprise_device_management
openharmony/customization_enterprise_device_management
CR-0312</x:v>
      </x:c>
      <x:c r="B317" s="176" t="str">
        <x:v>ohscanner.interface.ipc</x:v>
      </x:c>
      <x:c r="C317" s="182" t="str">
        <x:v>普通优先级</x:v>
      </x:c>
      <x:c r="D317" s="176" t="str">
        <x:v>ipc.relay.descriptor-boundary / CWE-441</x:v>
      </x:c>
      <x:c r="E317" s="176" t="str">
        <x:v>services/edm/src/enterprise_device_mgr_stub.cpp:90
符号：EnterpriseDeviceMgrStub::HandleOnRemoteRequest</x:v>
      </x:c>
      <x:c r="F317" s="176" t="str">
        <x:v>未运行目标派生 harness；通用 sanitizer 控制仅验证方法可用，不能替代产品入口、权限边界和 CIA 影响证明。</x:v>
      </x:c>
      <x:c r="G317" s="195" t="str">
        <x:v>not_testable</x:v>
      </x:c>
      <x:c r="H317" s="176" t="str">
        <x:v>1) 补充 descriptor 解析边界、输入长度与目标缓冲区容量的完整数据流
2) 证明真实 IPC 入口、可控触发条件和具体 CIA 影响</x:v>
      </x:c>
      <x:c r="I317" s="191" t="str">
        <x:f>IFERROR(HYPERLINK("file:///D:/openHarmonyScanner/outputs/01a14d00-bc78-7ac2-9520-210d4b92b1ac/poc/index.json","无专用 PoC"),"无专用 PoC")</x:f>
        <x:v>无专用 PoC</x:v>
      </x:c>
    </x:row>
    <x:row r="318" ht="58" customHeight="1">
      <x:c r="A318" s="175" t="str">
        <x:v>customization_enterprise_device_management
openharmony/customization_enterprise_device_management
CR-0313</x:v>
      </x:c>
      <x:c r="B318" s="176" t="str">
        <x:v>ohscanner.interface.ipc</x:v>
      </x:c>
      <x:c r="C318" s="182" t="str">
        <x:v>普通优先级</x:v>
      </x:c>
      <x:c r="D318" s="176" t="str">
        <x:v>ipc.relay.descriptor-boundary / CWE-441</x:v>
      </x:c>
      <x:c r="E318" s="176" t="str">
        <x:v>test/unittest/services/edm/src/system_timer_manager_test.cpp:70
符号：OnRemoteRequest</x:v>
      </x:c>
      <x:c r="F318" s="176" t="str">
        <x:v>未运行目标派生 harness；通用 sanitizer 控制仅验证方法可用，不能替代产品入口、权限边界和 CIA 影响证明。</x:v>
      </x:c>
      <x:c r="G318" s="195" t="str">
        <x:v>not_testable</x:v>
      </x:c>
      <x:c r="H318" s="176" t="str">
        <x:v>1) 补充 descriptor 解析边界、输入长度与目标缓冲区容量的完整数据流
2) 证明真实 IPC 入口、可控触发条件和具体 CIA 影响</x:v>
      </x:c>
      <x:c r="I318" s="191" t="str">
        <x:f>IFERROR(HYPERLINK("file:///D:/openHarmonyScanner/outputs/01a14d00-bc78-7ac2-9520-210d4b92b1ac/poc/index.json","无专用 PoC"),"无专用 PoC")</x:f>
        <x:v>无专用 PoC</x:v>
      </x:c>
    </x:row>
    <x:row r="319" ht="58" customHeight="1">
      <x:c r="A319" s="175" t="str">
        <x:v>ability_ability_base
openharmony/ability_ability_base
CR-0314</x:v>
      </x:c>
      <x:c r="B319" s="176" t="str">
        <x:v>ohscanner.cpp.shared_ptr_race</x:v>
      </x:c>
      <x:c r="C319" s="196" t="str">
        <x:v>高优先级</x:v>
      </x:c>
      <x:c r="D319" s="176" t="str">
        <x:v>ohcpp-shared-ptr-race-candidate-001 / CWE-362</x:v>
      </x:c>
      <x:c r="E319" s="176" t="str">
        <x:v>interfaces/inner_api/base/include/user_object_wrapper.h:25
符号：value_</x:v>
      </x:c>
      <x:c r="F319" s="176" t="str">
        <x:v>未运行目标派生 harness；Docker 内通用 TSan 正控 3/3 稳定检出数据竞争，原子固定对照 3/3 干净。
方法控制不证明抽样组件存在竞态。</x:v>
      </x:c>
      <x:c r="G319" s="195" t="str">
        <x:v>not_testable</x:v>
      </x:c>
      <x:c r="H31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19" s="191" t="str">
        <x:f>IFERROR(HYPERLINK("file:///D:/openHarmonyScanner/outputs/01a14d00-bc78-7ac2-9520-210d4b92b1ac/poc/index.json","无专用 PoC"),"无专用 PoC")</x:f>
        <x:v>无专用 PoC</x:v>
      </x:c>
    </x:row>
    <x:row r="320" ht="58" customHeight="1">
      <x:c r="A320" s="175" t="str">
        <x:v>security_certificate_manager
openharmony/security_certificate_manager
CR-0315</x:v>
      </x:c>
      <x:c r="B320" s="176" t="str">
        <x:v>ohscanner.cpp.shared_ptr_race</x:v>
      </x:c>
      <x:c r="C320" s="196" t="str">
        <x:v>高优先级</x:v>
      </x:c>
      <x:c r="D320" s="176" t="str">
        <x:v>ohcpp-shared-ptr-race-candidate-001 / CWE-362</x:v>
      </x:c>
      <x:c r="E320" s="176" t="str">
        <x:v>cmdline/certmgr/src/certmgr_command.cpp:364
符号：promise_</x:v>
      </x:c>
      <x:c r="F320" s="176" t="str">
        <x:v>未运行目标派生 harness；Docker 内通用 TSan 正控 3/3 稳定检出数据竞争，原子固定对照 3/3 干净。
方法控制不证明抽样组件存在竞态。</x:v>
      </x:c>
      <x:c r="G320" s="195" t="str">
        <x:v>not_testable</x:v>
      </x:c>
      <x:c r="H32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0" s="191" t="str">
        <x:f>IFERROR(HYPERLINK("file:///D:/openHarmonyScanner/outputs/01a14d00-bc78-7ac2-9520-210d4b92b1ac/poc/index.json","无专用 PoC"),"无专用 PoC")</x:f>
        <x:v>无专用 PoC</x:v>
      </x:c>
    </x:row>
    <x:row r="321" ht="58" customHeight="1">
      <x:c r="A321" s="175" t="str">
        <x:v>security_certificate_manager
openharmony/security_certificate_manager
CR-0316</x:v>
      </x:c>
      <x:c r="B321" s="176" t="str">
        <x:v>ohscanner.interface.ipc</x:v>
      </x:c>
      <x:c r="C321" s="182" t="str">
        <x:v>普通优先级</x:v>
      </x:c>
      <x:c r="D321" s="176" t="str">
        <x:v>ipc.relay.descriptor-boundary / CWE-441</x:v>
      </x:c>
      <x:c r="E321" s="176" t="str">
        <x:v>frameworks/cert_manager_standard/main/os_dependency/cm_ipc/src/cm_ipc_dialog_client.cpp:127
符号：CmDialogCallbackStub::OnRemoteRequest</x:v>
      </x:c>
      <x:c r="F321" s="176" t="str">
        <x:v>未运行目标派生 harness；通用 sanitizer 控制仅验证方法可用，不能替代产品入口、权限边界和 CIA 影响证明。</x:v>
      </x:c>
      <x:c r="G321" s="195" t="str">
        <x:v>not_testable</x:v>
      </x:c>
      <x:c r="H321" s="176" t="str">
        <x:v>1) 补充 descriptor 解析边界、输入长度与目标缓冲区容量的完整数据流
2) 证明真实 IPC 入口、可控触发条件和具体 CIA 影响</x:v>
      </x:c>
      <x:c r="I321" s="191" t="str">
        <x:f>IFERROR(HYPERLINK("file:///D:/openHarmonyScanner/outputs/01a14d00-bc78-7ac2-9520-210d4b92b1ac/poc/index.json","无专用 PoC"),"无专用 PoC")</x:f>
        <x:v>无专用 PoC</x:v>
      </x:c>
    </x:row>
    <x:row r="322" ht="58" customHeight="1">
      <x:c r="A322" s="175" t="str">
        <x:v>communication_wifi
openharmony/communication_wifi
CR-0317</x:v>
      </x:c>
      <x:c r="B322" s="176" t="str">
        <x:v>ohscanner.cpp.shared_ptr_race</x:v>
      </x:c>
      <x:c r="C322" s="196" t="str">
        <x:v>高优先级</x:v>
      </x:c>
      <x:c r="D322" s="176" t="str">
        <x:v>ohcpp-shared-ptr-race-candidate-001 / CWE-362</x:v>
      </x:c>
      <x:c r="E322" s="176" t="str">
        <x:v>wifi/utils/src/wifi_event_handler.cpp:242
符号：eventRunner</x:v>
      </x:c>
      <x:c r="F322" s="176" t="str">
        <x:v>未运行目标派生 harness；Docker 内通用 TSan 正控 3/3 稳定检出数据竞争，原子固定对照 3/3 干净。
方法控制不证明抽样组件存在竞态。</x:v>
      </x:c>
      <x:c r="G322" s="195" t="str">
        <x:v>not_testable</x:v>
      </x:c>
      <x:c r="H32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2" s="191" t="str">
        <x:f>IFERROR(HYPERLINK("file:///D:/openHarmonyScanner/outputs/01a14d00-bc78-7ac2-9520-210d4b92b1ac/poc/index.json","无专用 PoC"),"无专用 PoC")</x:f>
        <x:v>无专用 PoC</x:v>
      </x:c>
    </x:row>
    <x:row r="323" ht="58" customHeight="1">
      <x:c r="A323" s="175" t="str">
        <x:v>communication_wifi
openharmony/communication_wifi
CR-0318</x:v>
      </x:c>
      <x:c r="B323" s="176" t="str">
        <x:v>ohscanner.cpp.shared_ptr_race</x:v>
      </x:c>
      <x:c r="C323" s="196" t="str">
        <x:v>高优先级</x:v>
      </x:c>
      <x:c r="D323" s="176" t="str">
        <x:v>ohcpp-shared-ptr-race-candidate-001 / CWE-362</x:v>
      </x:c>
      <x:c r="E323" s="176" t="str">
        <x:v>wifi/utils/src/wifi_event_handler.cpp:243
符号：eventRunner</x:v>
      </x:c>
      <x:c r="F323" s="176" t="str">
        <x:v>未运行目标派生 harness；Docker 内通用 TSan 正控 3/3 稳定检出数据竞争，原子固定对照 3/3 干净。
方法控制不证明抽样组件存在竞态。</x:v>
      </x:c>
      <x:c r="G323" s="195" t="str">
        <x:v>not_testable</x:v>
      </x:c>
      <x:c r="H32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3" s="191" t="str">
        <x:f>IFERROR(HYPERLINK("file:///D:/openHarmonyScanner/outputs/01a14d00-bc78-7ac2-9520-210d4b92b1ac/poc/index.json","无专用 PoC"),"无专用 PoC")</x:f>
        <x:v>无专用 PoC</x:v>
      </x:c>
    </x:row>
    <x:row r="324" ht="58" customHeight="1">
      <x:c r="A324" s="175" t="str">
        <x:v>communication_wifi
openharmony/communication_wifi
CR-0319</x:v>
      </x:c>
      <x:c r="B324" s="176" t="str">
        <x:v>ohscanner.cpp.shared_ptr_race</x:v>
      </x:c>
      <x:c r="C324" s="196" t="str">
        <x:v>高优先级</x:v>
      </x:c>
      <x:c r="D324" s="176" t="str">
        <x:v>ohcpp-shared-ptr-race-candidate-001 / CWE-362</x:v>
      </x:c>
      <x:c r="E324" s="176" t="str">
        <x:v>wifi/utils/src/wifi_event_handler.cpp:244
符号：eventRunner</x:v>
      </x:c>
      <x:c r="F324" s="176" t="str">
        <x:v>未运行目标派生 harness；Docker 内通用 TSan 正控 3/3 稳定检出数据竞争，原子固定对照 3/3 干净。
方法控制不证明抽样组件存在竞态。</x:v>
      </x:c>
      <x:c r="G324" s="195" t="str">
        <x:v>not_testable</x:v>
      </x:c>
      <x:c r="H32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4" s="191" t="str">
        <x:f>IFERROR(HYPERLINK("file:///D:/openHarmonyScanner/outputs/01a14d00-bc78-7ac2-9520-210d4b92b1ac/poc/index.json","无专用 PoC"),"无专用 PoC")</x:f>
        <x:v>无专用 PoC</x:v>
      </x:c>
    </x:row>
    <x:row r="325" ht="58" customHeight="1">
      <x:c r="A325" s="175" t="str">
        <x:v>communication_wifi
openharmony/communication_wifi
CR-0320</x:v>
      </x:c>
      <x:c r="B325" s="176" t="str">
        <x:v>ohscanner.cpp.shared_ptr_race</x:v>
      </x:c>
      <x:c r="C325" s="196" t="str">
        <x:v>高优先级</x:v>
      </x:c>
      <x:c r="D325" s="176" t="str">
        <x:v>ohcpp-shared-ptr-race-candidate-001 / CWE-362</x:v>
      </x:c>
      <x:c r="E325" s="176" t="str">
        <x:v>wifi/utils/src/wifi_event_handler.cpp:244
符号：eventHandler</x:v>
      </x:c>
      <x:c r="F325" s="176" t="str">
        <x:v>未运行目标派生 harness；Docker 内通用 TSan 正控 3/3 稳定检出数据竞争，原子固定对照 3/3 干净。
方法控制不证明抽样组件存在竞态。</x:v>
      </x:c>
      <x:c r="G325" s="195" t="str">
        <x:v>not_testable</x:v>
      </x:c>
      <x:c r="H32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5" s="191" t="str">
        <x:f>IFERROR(HYPERLINK("file:///D:/openHarmonyScanner/outputs/01a14d00-bc78-7ac2-9520-210d4b92b1ac/poc/index.json","无专用 PoC"),"无专用 PoC")</x:f>
        <x:v>无专用 PoC</x:v>
      </x:c>
    </x:row>
    <x:row r="326" ht="58" customHeight="1">
      <x:c r="A326" s="175" t="str">
        <x:v>communication_wifi
openharmony/communication_wifi
CR-0321</x:v>
      </x:c>
      <x:c r="B326" s="176" t="str">
        <x:v>ohscanner.cpp.shared_ptr_race</x:v>
      </x:c>
      <x:c r="C326" s="196" t="str">
        <x:v>高优先级</x:v>
      </x:c>
      <x:c r="D326" s="176" t="str">
        <x:v>ohcpp-shared-ptr-race-candidate-001 / CWE-362</x:v>
      </x:c>
      <x:c r="E326" s="176" t="str">
        <x:v>wifi/utils/src/wifi_event_handler.cpp:253
符号：eventRunner</x:v>
      </x:c>
      <x:c r="F326" s="176" t="str">
        <x:v>未运行目标派生 harness；Docker 内通用 TSan 正控 3/3 稳定检出数据竞争，原子固定对照 3/3 干净。
方法控制不证明抽样组件存在竞态。</x:v>
      </x:c>
      <x:c r="G326" s="195" t="str">
        <x:v>not_testable</x:v>
      </x:c>
      <x:c r="H32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6" s="191" t="str">
        <x:f>IFERROR(HYPERLINK("file:///D:/openHarmonyScanner/outputs/01a14d00-bc78-7ac2-9520-210d4b92b1ac/poc/index.json","无专用 PoC"),"无专用 PoC")</x:f>
        <x:v>无专用 PoC</x:v>
      </x:c>
    </x:row>
    <x:row r="327" ht="58" customHeight="1">
      <x:c r="A327" s="175" t="str">
        <x:v>communication_wifi
openharmony/communication_wifi
CR-0322</x:v>
      </x:c>
      <x:c r="B327" s="176" t="str">
        <x:v>ohscanner.cpp.shared_ptr_race</x:v>
      </x:c>
      <x:c r="C327" s="196" t="str">
        <x:v>高优先级</x:v>
      </x:c>
      <x:c r="D327" s="176" t="str">
        <x:v>ohcpp-shared-ptr-race-candidate-001 / CWE-362</x:v>
      </x:c>
      <x:c r="E327" s="176" t="str">
        <x:v>wifi/utils/src/wifi_event_handler.cpp:254
符号：eventRunner</x:v>
      </x:c>
      <x:c r="F327" s="176" t="str">
        <x:v>未运行目标派生 harness；Docker 内通用 TSan 正控 3/3 稳定检出数据竞争，原子固定对照 3/3 干净。
方法控制不证明抽样组件存在竞态。</x:v>
      </x:c>
      <x:c r="G327" s="195" t="str">
        <x:v>not_testable</x:v>
      </x:c>
      <x:c r="H32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7" s="191" t="str">
        <x:f>IFERROR(HYPERLINK("file:///D:/openHarmonyScanner/outputs/01a14d00-bc78-7ac2-9520-210d4b92b1ac/poc/index.json","无专用 PoC"),"无专用 PoC")</x:f>
        <x:v>无专用 PoC</x:v>
      </x:c>
    </x:row>
    <x:row r="328" ht="58" customHeight="1">
      <x:c r="A328" s="175" t="str">
        <x:v>communication_wifi
openharmony/communication_wifi
CR-0323</x:v>
      </x:c>
      <x:c r="B328" s="176" t="str">
        <x:v>ohscanner.cpp.shared_ptr_race</x:v>
      </x:c>
      <x:c r="C328" s="196" t="str">
        <x:v>高优先级</x:v>
      </x:c>
      <x:c r="D328" s="176" t="str">
        <x:v>ohcpp-shared-ptr-race-candidate-001 / CWE-362</x:v>
      </x:c>
      <x:c r="E328" s="176" t="str">
        <x:v>wifi/utils/src/wifi_event_handler.cpp:255
符号：eventRunner</x:v>
      </x:c>
      <x:c r="F328" s="176" t="str">
        <x:v>未运行目标派生 harness；Docker 内通用 TSan 正控 3/3 稳定检出数据竞争，原子固定对照 3/3 干净。
方法控制不证明抽样组件存在竞态。</x:v>
      </x:c>
      <x:c r="G328" s="195" t="str">
        <x:v>not_testable</x:v>
      </x:c>
      <x:c r="H32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8" s="191" t="str">
        <x:f>IFERROR(HYPERLINK("file:///D:/openHarmonyScanner/outputs/01a14d00-bc78-7ac2-9520-210d4b92b1ac/poc/index.json","无专用 PoC"),"无专用 PoC")</x:f>
        <x:v>无专用 PoC</x:v>
      </x:c>
    </x:row>
    <x:row r="329" ht="58" customHeight="1">
      <x:c r="A329" s="175" t="str">
        <x:v>communication_wifi
openharmony/communication_wifi
CR-0324</x:v>
      </x:c>
      <x:c r="B329" s="176" t="str">
        <x:v>ohscanner.cpp.shared_ptr_race</x:v>
      </x:c>
      <x:c r="C329" s="196" t="str">
        <x:v>高优先级</x:v>
      </x:c>
      <x:c r="D329" s="176" t="str">
        <x:v>ohcpp-shared-ptr-race-candidate-001 / CWE-362</x:v>
      </x:c>
      <x:c r="E329" s="176" t="str">
        <x:v>wifi/utils/src/wifi_event_handler.cpp:257
符号：eventHandler</x:v>
      </x:c>
      <x:c r="F329" s="176" t="str">
        <x:v>未运行目标派生 harness；Docker 内通用 TSan 正控 3/3 稳定检出数据竞争，原子固定对照 3/3 干净。
方法控制不证明抽样组件存在竞态。</x:v>
      </x:c>
      <x:c r="G329" s="195" t="str">
        <x:v>not_testable</x:v>
      </x:c>
      <x:c r="H32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29" s="191" t="str">
        <x:f>IFERROR(HYPERLINK("file:///D:/openHarmonyScanner/outputs/01a14d00-bc78-7ac2-9520-210d4b92b1ac/poc/index.json","无专用 PoC"),"无专用 PoC")</x:f>
        <x:v>无专用 PoC</x:v>
      </x:c>
    </x:row>
    <x:row r="330" ht="58" customHeight="1">
      <x:c r="A330" s="175" t="str">
        <x:v>communication_wifi
openharmony/communication_wifi
CR-0325</x:v>
      </x:c>
      <x:c r="B330" s="176" t="str">
        <x:v>ohscanner.cpp.shared_ptr_race</x:v>
      </x:c>
      <x:c r="C330" s="196" t="str">
        <x:v>高优先级</x:v>
      </x:c>
      <x:c r="D330" s="176" t="str">
        <x:v>ohcpp-shared-ptr-race-candidate-001 / CWE-362</x:v>
      </x:c>
      <x:c r="E330" s="176" t="str">
        <x:v>wifi/utils/src/wifi_event_handler.cpp:258
符号：eventHandler</x:v>
      </x:c>
      <x:c r="F330" s="176" t="str">
        <x:v>未运行目标派生 harness；Docker 内通用 TSan 正控 3/3 稳定检出数据竞争，原子固定对照 3/3 干净。
方法控制不证明抽样组件存在竞态。</x:v>
      </x:c>
      <x:c r="G330" s="195" t="str">
        <x:v>not_testable</x:v>
      </x:c>
      <x:c r="H330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0" s="191" t="str">
        <x:f>IFERROR(HYPERLINK("file:///D:/openHarmonyScanner/outputs/01a14d00-bc78-7ac2-9520-210d4b92b1ac/poc/index.json","无专用 PoC"),"无专用 PoC")</x:f>
        <x:v>无专用 PoC</x:v>
      </x:c>
    </x:row>
    <x:row r="331" ht="58" customHeight="1">
      <x:c r="A331" s="175" t="str">
        <x:v>communication_wifi
openharmony/communication_wifi
CR-0326</x:v>
      </x:c>
      <x:c r="B331" s="176" t="str">
        <x:v>ohscanner.cpp.shared_ptr_race</x:v>
      </x:c>
      <x:c r="C331" s="196" t="str">
        <x:v>高优先级</x:v>
      </x:c>
      <x:c r="D331" s="176" t="str">
        <x:v>ohcpp-shared-ptr-race-candidate-001 / CWE-362</x:v>
      </x:c>
      <x:c r="E331" s="176" t="str">
        <x:v>wifi/utils/src/wifi_event_handler.cpp:263
符号：eventHandler</x:v>
      </x:c>
      <x:c r="F331" s="176" t="str">
        <x:v>未运行目标派生 harness；Docker 内通用 TSan 正控 3/3 稳定检出数据竞争，原子固定对照 3/3 干净。
方法控制不证明抽样组件存在竞态。</x:v>
      </x:c>
      <x:c r="G331" s="195" t="str">
        <x:v>not_testable</x:v>
      </x:c>
      <x:c r="H331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1" s="191" t="str">
        <x:f>IFERROR(HYPERLINK("file:///D:/openHarmonyScanner/outputs/01a14d00-bc78-7ac2-9520-210d4b92b1ac/poc/index.json","无专用 PoC"),"无专用 PoC")</x:f>
        <x:v>无专用 PoC</x:v>
      </x:c>
    </x:row>
    <x:row r="332" ht="58" customHeight="1">
      <x:c r="A332" s="175" t="str">
        <x:v>communication_wifi
openharmony/communication_wifi
CR-0327</x:v>
      </x:c>
      <x:c r="B332" s="176" t="str">
        <x:v>ohscanner.cpp.shared_ptr_race</x:v>
      </x:c>
      <x:c r="C332" s="196" t="str">
        <x:v>高优先级</x:v>
      </x:c>
      <x:c r="D332" s="176" t="str">
        <x:v>ohcpp-shared-ptr-race-candidate-001 / CWE-362</x:v>
      </x:c>
      <x:c r="E332" s="176" t="str">
        <x:v>wifi/utils/src/wifi_event_handler.cpp:267
符号：eventHandler</x:v>
      </x:c>
      <x:c r="F332" s="176" t="str">
        <x:v>未运行目标派生 harness；Docker 内通用 TSan 正控 3/3 稳定检出数据竞争，原子固定对照 3/3 干净。
方法控制不证明抽样组件存在竞态。</x:v>
      </x:c>
      <x:c r="G332" s="195" t="str">
        <x:v>not_testable</x:v>
      </x:c>
      <x:c r="H332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2" s="191" t="str">
        <x:f>IFERROR(HYPERLINK("file:///D:/openHarmonyScanner/outputs/01a14d00-bc78-7ac2-9520-210d4b92b1ac/poc/index.json","无专用 PoC"),"无专用 PoC")</x:f>
        <x:v>无专用 PoC</x:v>
      </x:c>
    </x:row>
    <x:row r="333" ht="58" customHeight="1">
      <x:c r="A333" s="175" t="str">
        <x:v>communication_wifi
openharmony/communication_wifi
CR-0328</x:v>
      </x:c>
      <x:c r="B333" s="176" t="str">
        <x:v>ohscanner.cpp.shared_ptr_race</x:v>
      </x:c>
      <x:c r="C333" s="196" t="str">
        <x:v>高优先级</x:v>
      </x:c>
      <x:c r="D333" s="176" t="str">
        <x:v>ohcpp-shared-ptr-race-candidate-001 / CWE-362</x:v>
      </x:c>
      <x:c r="E333" s="176" t="str">
        <x:v>wifi/utils/src/wifi_event_handler.cpp:271
符号：eventHandler</x:v>
      </x:c>
      <x:c r="F333" s="176" t="str">
        <x:v>未运行目标派生 harness；Docker 内通用 TSan 正控 3/3 稳定检出数据竞争，原子固定对照 3/3 干净。
方法控制不证明抽样组件存在竞态。</x:v>
      </x:c>
      <x:c r="G333" s="195" t="str">
        <x:v>not_testable</x:v>
      </x:c>
      <x:c r="H333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3" s="191" t="str">
        <x:f>IFERROR(HYPERLINK("file:///D:/openHarmonyScanner/outputs/01a14d00-bc78-7ac2-9520-210d4b92b1ac/poc/index.json","无专用 PoC"),"无专用 PoC")</x:f>
        <x:v>无专用 PoC</x:v>
      </x:c>
    </x:row>
    <x:row r="334" ht="58" customHeight="1">
      <x:c r="A334" s="175" t="str">
        <x:v>communication_wifi
openharmony/communication_wifi
CR-0329</x:v>
      </x:c>
      <x:c r="B334" s="176" t="str">
        <x:v>ohscanner.cpp.shared_ptr_race</x:v>
      </x:c>
      <x:c r="C334" s="196" t="str">
        <x:v>高优先级</x:v>
      </x:c>
      <x:c r="D334" s="176" t="str">
        <x:v>ohcpp-shared-ptr-race-candidate-001 / CWE-362</x:v>
      </x:c>
      <x:c r="E334" s="176" t="str">
        <x:v>wifi/utils/src/wifi_event_handler.cpp:275
符号：eventHandler</x:v>
      </x:c>
      <x:c r="F334" s="176" t="str">
        <x:v>未运行目标派生 harness；Docker 内通用 TSan 正控 3/3 稳定检出数据竞争，原子固定对照 3/3 干净。
方法控制不证明抽样组件存在竞态。</x:v>
      </x:c>
      <x:c r="G334" s="195" t="str">
        <x:v>not_testable</x:v>
      </x:c>
      <x:c r="H334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4" s="191" t="str">
        <x:f>IFERROR(HYPERLINK("file:///D:/openHarmonyScanner/outputs/01a14d00-bc78-7ac2-9520-210d4b92b1ac/poc/index.json","无专用 PoC"),"无专用 PoC")</x:f>
        <x:v>无专用 PoC</x:v>
      </x:c>
    </x:row>
    <x:row r="335" ht="58" customHeight="1">
      <x:c r="A335" s="175" t="str">
        <x:v>communication_wifi
openharmony/communication_wifi
CR-0330</x:v>
      </x:c>
      <x:c r="B335" s="176" t="str">
        <x:v>ohscanner.cpp.shared_ptr_race</x:v>
      </x:c>
      <x:c r="C335" s="196" t="str">
        <x:v>高优先级</x:v>
      </x:c>
      <x:c r="D335" s="176" t="str">
        <x:v>ohcpp-shared-ptr-race-candidate-001 / CWE-362</x:v>
      </x:c>
      <x:c r="E335" s="176" t="str">
        <x:v>wifi/utils/src/wifi_event_handler.cpp:279
符号：eventHandler</x:v>
      </x:c>
      <x:c r="F335" s="176" t="str">
        <x:v>未运行目标派生 harness；Docker 内通用 TSan 正控 3/3 稳定检出数据竞争，原子固定对照 3/3 干净。
方法控制不证明抽样组件存在竞态。</x:v>
      </x:c>
      <x:c r="G335" s="195" t="str">
        <x:v>not_testable</x:v>
      </x:c>
      <x:c r="H335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5" s="191" t="str">
        <x:f>IFERROR(HYPERLINK("file:///D:/openHarmonyScanner/outputs/01a14d00-bc78-7ac2-9520-210d4b92b1ac/poc/index.json","无专用 PoC"),"无专用 PoC")</x:f>
        <x:v>无专用 PoC</x:v>
      </x:c>
    </x:row>
    <x:row r="336" ht="58" customHeight="1">
      <x:c r="A336" s="175" t="str">
        <x:v>communication_wifi
openharmony/communication_wifi
CR-0331</x:v>
      </x:c>
      <x:c r="B336" s="176" t="str">
        <x:v>ohscanner.cpp.shared_ptr_race</x:v>
      </x:c>
      <x:c r="C336" s="196" t="str">
        <x:v>高优先级</x:v>
      </x:c>
      <x:c r="D336" s="176" t="str">
        <x:v>ohcpp-shared-ptr-race-candidate-001 / CWE-362</x:v>
      </x:c>
      <x:c r="E336" s="176" t="str">
        <x:v>wifi/utils/src/wifi_event_handler.cpp:284
符号：eventHandler</x:v>
      </x:c>
      <x:c r="F336" s="176" t="str">
        <x:v>未运行目标派生 harness；Docker 内通用 TSan 正控 3/3 稳定检出数据竞争，原子固定对照 3/3 干净。
方法控制不证明抽样组件存在竞态。</x:v>
      </x:c>
      <x:c r="G336" s="195" t="str">
        <x:v>not_testable</x:v>
      </x:c>
      <x:c r="H33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6" s="191" t="str">
        <x:f>IFERROR(HYPERLINK("file:///D:/openHarmonyScanner/outputs/01a14d00-bc78-7ac2-9520-210d4b92b1ac/poc/index.json","无专用 PoC"),"无专用 PoC")</x:f>
        <x:v>无专用 PoC</x:v>
      </x:c>
    </x:row>
    <x:row r="337" ht="58" customHeight="1">
      <x:c r="A337" s="175" t="str">
        <x:v>communication_wifi
openharmony/communication_wifi
CR-0332</x:v>
      </x:c>
      <x:c r="B337" s="176" t="str">
        <x:v>ohscanner.cpp.shared_ptr_race</x:v>
      </x:c>
      <x:c r="C337" s="196" t="str">
        <x:v>高优先级</x:v>
      </x:c>
      <x:c r="D337" s="176" t="str">
        <x:v>ohcpp-shared-ptr-race-candidate-001 / CWE-362</x:v>
      </x:c>
      <x:c r="E337" s="176" t="str">
        <x:v>wifi/utils/src/wifi_event_handler.cpp:286
符号：eventHandler</x:v>
      </x:c>
      <x:c r="F337" s="176" t="str">
        <x:v>未运行目标派生 harness；Docker 内通用 TSan 正控 3/3 稳定检出数据竞争，原子固定对照 3/3 干净。
方法控制不证明抽样组件存在竞态。</x:v>
      </x:c>
      <x:c r="G337" s="195" t="str">
        <x:v>not_testable</x:v>
      </x:c>
      <x:c r="H33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7" s="191" t="str">
        <x:f>IFERROR(HYPERLINK("file:///D:/openHarmonyScanner/outputs/01a14d00-bc78-7ac2-9520-210d4b92b1ac/poc/index.json","无专用 PoC"),"无专用 PoC")</x:f>
        <x:v>无专用 PoC</x:v>
      </x:c>
    </x:row>
    <x:row r="338" ht="58" customHeight="1">
      <x:c r="A338" s="175" t="str">
        <x:v>communication_wifi
openharmony/communication_wifi
CR-0333</x:v>
      </x:c>
      <x:c r="B338" s="176" t="str">
        <x:v>ohscanner.cpp.shared_ptr_race</x:v>
      </x:c>
      <x:c r="C338" s="196" t="str">
        <x:v>高优先级</x:v>
      </x:c>
      <x:c r="D338" s="176" t="str">
        <x:v>ohcpp-shared-ptr-race-candidate-001 / CWE-362</x:v>
      </x:c>
      <x:c r="E338" s="176" t="str">
        <x:v>wifi/utils/src/wifi_event_handler.cpp:290
符号：eventHandler</x:v>
      </x:c>
      <x:c r="F338" s="176" t="str">
        <x:v>未运行目标派生 harness；Docker 内通用 TSan 正控 3/3 稳定检出数据竞争，原子固定对照 3/3 干净。
方法控制不证明抽样组件存在竞态。</x:v>
      </x:c>
      <x:c r="G338" s="195" t="str">
        <x:v>not_testable</x:v>
      </x:c>
      <x:c r="H33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8" s="191" t="str">
        <x:f>IFERROR(HYPERLINK("file:///D:/openHarmonyScanner/outputs/01a14d00-bc78-7ac2-9520-210d4b92b1ac/poc/index.json","无专用 PoC"),"无专用 PoC")</x:f>
        <x:v>无专用 PoC</x:v>
      </x:c>
    </x:row>
    <x:row r="339" ht="58" customHeight="1">
      <x:c r="A339" s="175" t="str">
        <x:v>communication_wifi
openharmony/communication_wifi
CR-0334</x:v>
      </x:c>
      <x:c r="B339" s="176" t="str">
        <x:v>ohscanner.cpp.shared_ptr_race</x:v>
      </x:c>
      <x:c r="C339" s="196" t="str">
        <x:v>高优先级</x:v>
      </x:c>
      <x:c r="D339" s="176" t="str">
        <x:v>ohcpp-shared-ptr-race-candidate-001 / CWE-362</x:v>
      </x:c>
      <x:c r="E339" s="176" t="str">
        <x:v>wifi/utils/src/wifi_event_handler.cpp:294
符号：eventHandler</x:v>
      </x:c>
      <x:c r="F339" s="176" t="str">
        <x:v>未运行目标派生 harness；Docker 内通用 TSan 正控 3/3 稳定检出数据竞争，原子固定对照 3/3 干净。
方法控制不证明抽样组件存在竞态。</x:v>
      </x:c>
      <x:c r="G339" s="195" t="str">
        <x:v>not_testable</x:v>
      </x:c>
      <x:c r="H339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39" s="191" t="str">
        <x:f>IFERROR(HYPERLINK("file:///D:/openHarmonyScanner/outputs/01a14d00-bc78-7ac2-9520-210d4b92b1ac/poc/index.json","无专用 PoC"),"无专用 PoC")</x:f>
        <x:v>无专用 PoC</x:v>
      </x:c>
    </x:row>
    <x:row r="340" ht="58" customHeight="1">
      <x:c r="A340" s="175" t="str">
        <x:v>communication_wifi
openharmony/communication_wifi
CR-0335</x:v>
      </x:c>
      <x:c r="B340" s="176" t="str">
        <x:v>ohscanner.interface.ipc</x:v>
      </x:c>
      <x:c r="C340" s="196" t="str">
        <x:v>高优先级</x:v>
      </x:c>
      <x:c r="D340" s="176" t="str">
        <x:v>ipc.parcel.copy-range / CWE-20（可能后果 CWE-125）</x:v>
      </x:c>
      <x:c r="E340" s="176" t="str">
        <x:v>wifi/frameworks/native/src/wifi_p2p_callback_stub.cpp:385
符号：WifiP2pCallbackStub::RemoteOnConfigChanged</x:v>
      </x:c>
      <x:c r="F340" s="176" t="str">
        <x:v>Docker 内缩约源码模型 ASan/UBSan 3/3 无发现；越界正控 3/3 稳定检出；安全对照 3/3 干净。
缩约模型不等于完整产品构建 PoC。</x:v>
      </x:c>
      <x:c r="G340" s="197" t="str">
        <x:v>not_reproduced</x:v>
      </x:c>
      <x:c r="H340" s="176" t="str">
        <x:v>1) 如仍主张 CWE-125，需要给出绕过 cfgLen &lt;= 0 与 cfgLen &gt; MAX_LEN 的产品级触发路径
2) 在完整目标构建中复现越界读及返回相邻内存的 CIA 影响</x:v>
      </x:c>
      <x:c r="I340" s="191" t="str">
        <x:f>IFERROR(HYPERLINK("file:///D:/openHarmonyScanner/outputs/01a14d00-bc78-7ac2-9520-210d4b92b1ac/poc/index.json","无专用 PoC"),"无专用 PoC")</x:f>
        <x:v>无专用 PoC</x:v>
      </x:c>
    </x:row>
    <x:row r="341" ht="58" customHeight="1">
      <x:c r="A341" s="175" t="str">
        <x:v>communication_wifi
openharmony/communication_wifi
CR-0336</x:v>
      </x:c>
      <x:c r="B341" s="176" t="str">
        <x:v>ohscanner.interface.ipc</x:v>
      </x:c>
      <x:c r="C341" s="196" t="str">
        <x:v>高优先级</x:v>
      </x:c>
      <x:c r="D341" s="176" t="str">
        <x:v>ipc.capability.export / CWE-926（可能后果 CWE-668）</x:v>
      </x:c>
      <x:c r="E341" s="176" t="str">
        <x:v>wifi/services/wifi_standard/wifi_framework/wifi_manage/wifi_sta_sa/wifi_device_mgr_stub.cpp:40
符号：WifiDeviceMgrStub::GetWifiRemoteInner</x:v>
      </x:c>
      <x:c r="F341" s="176" t="str">
        <x:v>未运行目标派生 harness；通用 sanitizer 控制仅验证方法可用，不能替代产品入口、权限边界和 CIA 影响证明。</x:v>
      </x:c>
      <x:c r="G341" s="195" t="str">
        <x:v>not_testable</x:v>
      </x:c>
      <x:c r="H341" s="176" t="str">
        <x:v>1) 证明导出对象/FD 的授权策略与 capability owner 边界
2) 证明调用者能够从真实 IPC 入口取得越权能力并到达敏感操作
3) 证明具体 CIA 影响；对象可导出本身不等于越权能力泄露</x:v>
      </x:c>
      <x:c r="I341" s="191" t="str">
        <x:f>IFERROR(HYPERLINK("file:///D:/openHarmonyScanner/outputs/01a14d00-bc78-7ac2-9520-210d4b92b1ac/poc/index.json","无专用 PoC"),"无专用 PoC")</x:f>
        <x:v>无专用 PoC</x:v>
      </x:c>
    </x:row>
    <x:row r="342" ht="58" customHeight="1">
      <x:c r="A342" s="175" t="str">
        <x:v>communication_wifi
openharmony/communication_wifi
CR-0337</x:v>
      </x:c>
      <x:c r="B342" s="176" t="str">
        <x:v>ohscanner.interface.ipc</x:v>
      </x:c>
      <x:c r="C342" s="182" t="str">
        <x:v>普通优先级</x:v>
      </x:c>
      <x:c r="D342" s="176" t="str">
        <x:v>ipc.relay.descriptor-boundary / CWE-441</x:v>
      </x:c>
      <x:c r="E342" s="176" t="str">
        <x:v>wifi/test/fuzztest/wifi_sta/wifidevicestub_fuzzer/wifidevicestub_fuzzer.cpp:118
符号：OnRemoteRequest</x:v>
      </x:c>
      <x:c r="F342" s="176" t="str">
        <x:v>未运行目标派生 harness；通用 sanitizer 控制仅验证方法可用，不能替代产品入口、权限边界和 CIA 影响证明。</x:v>
      </x:c>
      <x:c r="G342" s="195" t="str">
        <x:v>not_testable</x:v>
      </x:c>
      <x:c r="H342" s="176" t="str">
        <x:v>1) 补充 descriptor 解析边界、输入长度与目标缓冲区容量的完整数据流
2) 证明真实 IPC 入口、可控触发条件和具体 CIA 影响</x:v>
      </x:c>
      <x:c r="I342" s="191" t="str">
        <x:f>IFERROR(HYPERLINK("file:///D:/openHarmonyScanner/outputs/01a14d00-bc78-7ac2-9520-210d4b92b1ac/poc/index.json","无专用 PoC"),"无专用 PoC")</x:f>
        <x:v>无专用 PoC</x:v>
      </x:c>
    </x:row>
    <x:row r="343" ht="58" customHeight="1">
      <x:c r="A343" s="175" t="str">
        <x:v>communication_wifi
openharmony/communication_wifi
CR-0338</x:v>
      </x:c>
      <x:c r="B343" s="176" t="str">
        <x:v>ohscanner.interface.ipc</x:v>
      </x:c>
      <x:c r="C343" s="182" t="str">
        <x:v>普通优先级</x:v>
      </x:c>
      <x:c r="D343" s="176" t="str">
        <x:v>ipc.relay.descriptor-boundary / CWE-441</x:v>
      </x:c>
      <x:c r="E343" s="176" t="str">
        <x:v>wifi/test/fuzztest/wifi_sta/wifihotspotstub_fuzzer/wifihotspotstub_fuzzer.cpp:73
符号：OnRemoteRequest</x:v>
      </x:c>
      <x:c r="F343" s="176" t="str">
        <x:v>未运行目标派生 harness；通用 sanitizer 控制仅验证方法可用，不能替代产品入口、权限边界和 CIA 影响证明。</x:v>
      </x:c>
      <x:c r="G343" s="195" t="str">
        <x:v>not_testable</x:v>
      </x:c>
      <x:c r="H343" s="176" t="str">
        <x:v>1) 补充 descriptor 解析边界、输入长度与目标缓冲区容量的完整数据流
2) 证明真实 IPC 入口、可控触发条件和具体 CIA 影响</x:v>
      </x:c>
      <x:c r="I343" s="191" t="str">
        <x:f>IFERROR(HYPERLINK("file:///D:/openHarmonyScanner/outputs/01a14d00-bc78-7ac2-9520-210d4b92b1ac/poc/index.json","无专用 PoC"),"无专用 PoC")</x:f>
        <x:v>无专用 PoC</x:v>
      </x:c>
    </x:row>
    <x:row r="344" ht="58" customHeight="1">
      <x:c r="A344" s="175" t="str">
        <x:v>communication_wifi
openharmony/communication_wifi
CR-0339</x:v>
      </x:c>
      <x:c r="B344" s="176" t="str">
        <x:v>ohscanner.interface.ipc</x:v>
      </x:c>
      <x:c r="C344" s="182" t="str">
        <x:v>普通优先级</x:v>
      </x:c>
      <x:c r="D344" s="176" t="str">
        <x:v>ipc.relay.descriptor-boundary / CWE-441</x:v>
      </x:c>
      <x:c r="E344" s="176" t="str">
        <x:v>wifi/test/fuzztest/wifi_sta/wifip2pstub_fuzzer/wifip2pstub_fuzzer.cpp:65
符号：OnRemoteRequest</x:v>
      </x:c>
      <x:c r="F344" s="176" t="str">
        <x:v>未运行目标派生 harness；通用 sanitizer 控制仅验证方法可用，不能替代产品入口、权限边界和 CIA 影响证明。</x:v>
      </x:c>
      <x:c r="G344" s="195" t="str">
        <x:v>not_testable</x:v>
      </x:c>
      <x:c r="H344" s="176" t="str">
        <x:v>1) 补充 descriptor 解析边界、输入长度与目标缓冲区容量的完整数据流
2) 证明真实 IPC 入口、可控触发条件和具体 CIA 影响</x:v>
      </x:c>
      <x:c r="I344" s="191" t="str">
        <x:f>IFERROR(HYPERLINK("file:///D:/openHarmonyScanner/outputs/01a14d00-bc78-7ac2-9520-210d4b92b1ac/poc/index.json","无专用 PoC"),"无专用 PoC")</x:f>
        <x:v>无专用 PoC</x:v>
      </x:c>
    </x:row>
    <x:row r="345" ht="58" customHeight="1">
      <x:c r="A345" s="175" t="str">
        <x:v>communication_wifi
openharmony/communication_wifi
CR-0340</x:v>
      </x:c>
      <x:c r="B345" s="176" t="str">
        <x:v>ohscanner.interface.ipc</x:v>
      </x:c>
      <x:c r="C345" s="182" t="str">
        <x:v>普通优先级</x:v>
      </x:c>
      <x:c r="D345" s="176" t="str">
        <x:v>ipc.relay.descriptor-boundary / CWE-441</x:v>
      </x:c>
      <x:c r="E345" s="176" t="str">
        <x:v>wifi/test/fuzztest/wifi_sta/wifiscanstub_fuzzer/wifiscanstub_fuzzer.cpp:67
符号：OnRemoteRequest</x:v>
      </x:c>
      <x:c r="F345" s="176" t="str">
        <x:v>未运行目标派生 harness；通用 sanitizer 控制仅验证方法可用，不能替代产品入口、权限边界和 CIA 影响证明。</x:v>
      </x:c>
      <x:c r="G345" s="195" t="str">
        <x:v>not_testable</x:v>
      </x:c>
      <x:c r="H345" s="176" t="str">
        <x:v>1) 补充 descriptor 解析边界、输入长度与目标缓冲区容量的完整数据流
2) 证明真实 IPC 入口、可控触发条件和具体 CIA 影响</x:v>
      </x:c>
      <x:c r="I345" s="191" t="str">
        <x:f>IFERROR(HYPERLINK("file:///D:/openHarmonyScanner/outputs/01a14d00-bc78-7ac2-9520-210d4b92b1ac/poc/index.json","无专用 PoC"),"无专用 PoC")</x:f>
        <x:v>无专用 PoC</x:v>
      </x:c>
    </x:row>
    <x:row r="346" ht="58" customHeight="1">
      <x:c r="A346" s="175" t="str">
        <x:v>security_huks
openharmony/security_huks
CR-0341</x:v>
      </x:c>
      <x:c r="B346" s="176" t="str">
        <x:v>ohscanner.cpp.shared_ptr_race</x:v>
      </x:c>
      <x:c r="C346" s="196" t="str">
        <x:v>高优先级</x:v>
      </x:c>
      <x:c r="D346" s="176" t="str">
        <x:v>ohcpp-shared-ptr-race-candidate-001 / CWE-362</x:v>
      </x:c>
      <x:c r="E346" s="176" t="str">
        <x:v>services/huks_standard/huks_service/extension/ability_native/inc/hks_crypto_ext_stub_impl.h:33
符号：extension_</x:v>
      </x:c>
      <x:c r="F346" s="176" t="str">
        <x:v>未运行目标派生 harness；Docker 内通用 TSan 正控 3/3 稳定检出数据竞争，原子固定对照 3/3 干净。
方法控制不证明抽样组件存在竞态。</x:v>
      </x:c>
      <x:c r="G346" s="195" t="str">
        <x:v>not_testable</x:v>
      </x:c>
      <x:c r="H346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46" s="191" t="str">
        <x:f>IFERROR(HYPERLINK("file:///D:/openHarmonyScanner/outputs/01a14d00-bc78-7ac2-9520-210d4b92b1ac/poc/index.json","无专用 PoC"),"无专用 PoC")</x:f>
        <x:v>无专用 PoC</x:v>
      </x:c>
    </x:row>
    <x:row r="347" ht="58" customHeight="1">
      <x:c r="A347" s="175" t="str">
        <x:v>security_huks
openharmony/security_huks
CR-0342</x:v>
      </x:c>
      <x:c r="B347" s="176" t="str">
        <x:v>ohscanner.cpp.shared_ptr_race</x:v>
      </x:c>
      <x:c r="C347" s="196" t="str">
        <x:v>高优先级</x:v>
      </x:c>
      <x:c r="D347" s="176" t="str">
        <x:v>ohcpp-shared-ptr-race-candidate-001 / CWE-362</x:v>
      </x:c>
      <x:c r="E347" s="176" t="str">
        <x:v>services/huks_standard/huks_service/extension/ukey_client_service/inc/hks_ukey_async_task.h:48
符号：cancelled_</x:v>
      </x:c>
      <x:c r="F347" s="176" t="str">
        <x:v>未运行目标派生 harness；Docker 内通用 TSan 正控 3/3 稳定检出数据竞争，原子固定对照 3/3 干净。
方法控制不证明抽样组件存在竞态。</x:v>
      </x:c>
      <x:c r="G347" s="195" t="str">
        <x:v>not_testable</x:v>
      </x:c>
      <x:c r="H347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47" s="191" t="str">
        <x:f>IFERROR(HYPERLINK("file:///D:/openHarmonyScanner/outputs/01a14d00-bc78-7ac2-9520-210d4b92b1ac/poc/index.json","无专用 PoC"),"无专用 PoC")</x:f>
        <x:v>无专用 PoC</x:v>
      </x:c>
    </x:row>
    <x:row r="348" ht="58" customHeight="1">
      <x:c r="A348" s="175" t="str">
        <x:v>telephony_sms_mms
openharmony/telephony_sms_mms
CR-0343</x:v>
      </x:c>
      <x:c r="B348" s="176" t="str">
        <x:v>ohscanner.cpp.shared_ptr_race</x:v>
      </x:c>
      <x:c r="C348" s="196" t="str">
        <x:v>高优先级</x:v>
      </x:c>
      <x:c r="D348" s="176" t="str">
        <x:v>ohcpp-shared-ptr-race-candidate-001 / CWE-362</x:v>
      </x:c>
      <x:c r="E348" s="176" t="str">
        <x:v>services/sms/include/gsm/gsm_sms_cb_handler.h:39
符号：header</x:v>
      </x:c>
      <x:c r="F348" s="176" t="str">
        <x:v>未运行目标派生 harness；Docker 内通用 TSan 正控 3/3 稳定检出数据竞争，原子固定对照 3/3 干净。
方法控制不证明抽样组件存在竞态。</x:v>
      </x:c>
      <x:c r="G348" s="195" t="str">
        <x:v>not_testable</x:v>
      </x:c>
      <x:c r="H348" s="176" t="str">
        <x:v>1) 补齐方法级别名/所有权转移路径，证明 shared_ptr 读写是否真正并发交错
2) 证明析构时序、guard dominance 与同步原语覆盖全部共享访问
3) 给出目标构建配置、线程模型和攻击者可控调度/触发条件
4) 证明具体 CIA 影响，而非仅凭语法命中或通用 TSan 控制</x:v>
      </x:c>
      <x:c r="I348" s="191" t="str">
        <x:f>IFERROR(HYPERLINK("file:///D:/openHarmonyScanner/outputs/01a14d00-bc78-7ac2-9520-210d4b92b1ac/poc/index.json","无专用 PoC"),"无专用 PoC")</x:f>
        <x:v>无专用 PoC</x:v>
      </x:c>
    </x:row>
    <x:row r="349" ht="58" customHeight="1">
      <x:c r="A349" s="175" t="str">
        <x:v>telephony_sms_mms
openharmony/telephony_sms_mms
CR-0344</x:v>
      </x:c>
      <x:c r="B349" s="176" t="str">
        <x:v>ohscanner.interface.ipc</x:v>
      </x:c>
      <x:c r="C349" s="182" t="str">
        <x:v>普通优先级</x:v>
      </x:c>
      <x:c r="D349" s="176" t="str">
        <x:v>ipc.relay.descriptor-boundary / CWE-441</x:v>
      </x:c>
      <x:c r="E349" s="176" t="str">
        <x:v>test/unittest/sms_delivery_callback_test.cpp:31
符号：SmsDeliveryCallbackTest::OnRemoteRequest</x:v>
      </x:c>
      <x:c r="F349" s="176" t="str">
        <x:v>未运行目标派生 harness；通用 sanitizer 控制仅验证方法可用，不能替代产品入口、权限边界和 CIA 影响证明。</x:v>
      </x:c>
      <x:c r="G349" s="195" t="str">
        <x:v>not_testable</x:v>
      </x:c>
      <x:c r="H349" s="176" t="str">
        <x:v>1) 补充 descriptor 解析边界、输入长度与目标缓冲区容量的完整数据流
2) 证明真实 IPC 入口、可控触发条件和具体 CIA 影响</x:v>
      </x:c>
      <x:c r="I349" s="191" t="str">
        <x:f>IFERROR(HYPERLINK("file:///D:/openHarmonyScanner/outputs/01a14d00-bc78-7ac2-9520-210d4b92b1ac/poc/index.json","无专用 PoC"),"无专用 PoC")</x:f>
        <x:v>无专用 PoC</x:v>
      </x:c>
    </x:row>
    <x:row r="350" ht="58" customHeight="1">
      <x:c r="A350" s="178" t="str">
        <x:v>telephony_sms_mms
openharmony/telephony_sms_mms
CR-0345</x:v>
      </x:c>
      <x:c r="B350" s="179" t="str">
        <x:v>ohscanner.interface.ipc</x:v>
      </x:c>
      <x:c r="C350" s="183" t="str">
        <x:v>普通优先级</x:v>
      </x:c>
      <x:c r="D350" s="179" t="str">
        <x:v>ipc.relay.descriptor-boundary / CWE-441</x:v>
      </x:c>
      <x:c r="E350" s="179" t="str">
        <x:v>test/unittest/sms_send_callback_test.cpp:33
符号：SmsSendCallbackTest::OnRemoteRequest</x:v>
      </x:c>
      <x:c r="F350" s="179" t="str">
        <x:v>未运行目标派生 harness；通用 sanitizer 控制仅验证方法可用，不能替代产品入口、权限边界和 CIA 影响证明。</x:v>
      </x:c>
      <x:c r="G350" s="198" t="str">
        <x:v>not_testable</x:v>
      </x:c>
      <x:c r="H350" s="179" t="str">
        <x:v>1) 补充 descriptor 解析边界、输入长度与目标缓冲区容量的完整数据流
2) 证明真实 IPC 入口、可控触发条件和具体 CIA 影响</x:v>
      </x:c>
      <x:c r="I350" s="192" t="str">
        <x:f>IFERROR(HYPERLINK("file:///D:/openHarmonyScanner/outputs/01a14d00-bc78-7ac2-9520-210d4b92b1ac/poc/index.json","无专用 PoC"),"无专用 PoC")</x:f>
        <x:v>无专用 PoC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33a71f5a474745b0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30" hidden="0" customWidth="1"/>
    <x:col min="4" max="4" width="43" hidden="0" customWidth="1"/>
    <x:col min="5" max="5" width="26" hidden="0" customWidth="1"/>
    <x:col min="6" max="6" width="38" hidden="0" customWidth="1"/>
    <x:col min="7" max="7" width="13" hidden="0" customWidth="1"/>
    <x:col min="8" max="8" width="13" hidden="0" customWidth="1"/>
    <x:col min="9" max="9" width="13" hidden="0" customWidth="1"/>
    <x:col min="10" max="10" width="19" hidden="0" customWidth="1"/>
  </x:cols>
  <x:sheetData>
    <x:row r="1">
      <x:c r="A1" s="3" t="str">
        <x:v>样本与方法：确定性抽样、溯源和沙箱边界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固定种子 20261018；排序摘要 SHA-256(seed NUL repository NUL snapshot_sha256)；重复执行选择一致。建议打印范围：A1:J42；横向；适合一页宽。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抽样与对账</x:v>
      </x:c>
      <x:c r="B4" s="12" t="str">
        <x:v>结果</x:v>
      </x:c>
      <x:c r="D4" s="12" t="str">
        <x:v>溯源核验</x:v>
      </x:c>
      <x:c r="E4" s="12" t="str">
        <x:v>结果</x:v>
      </x:c>
      <x:c r="G4" s="12" t="str">
        <x:v>沙箱约束</x:v>
      </x:c>
      <x:c r="H4" s="12" t="str">
        <x:v>结果</x:v>
      </x:c>
      <x:c r="I4" s="12" t="str">
        <x:v>证据</x:v>
      </x:c>
      <x:c r="J4" s="12" t="str">
        <x:v>链接</x:v>
      </x:c>
    </x:row>
    <x:row r="5">
      <x:c r="A5" s="212" t="str">
        <x:v>有效总体报告</x:v>
      </x:c>
      <x:c r="B5" s="213" t="n">
        <x:v>378</x:v>
      </x:c>
      <x:c r="D5" s="212" t="str">
        <x:v>commit 匹配</x:v>
      </x:c>
      <x:c r="E5" s="213" t="str">
        <x:v>30/30</x:v>
      </x:c>
      <x:c r="G5" s="212" t="str">
        <x:v>网络</x:v>
      </x:c>
      <x:c r="H5" s="224" t="str">
        <x:v>--network none</x:v>
      </x:c>
      <x:c r="I5" s="224" t="str">
        <x:v>sandbox_results.json</x:v>
      </x:c>
      <x:c r="J5" s="190" t="str">
        <x:f>IFERROR(HYPERLINK("file:///D:/openHarmonyScanner/outputs/01a14d00-bc78-7ac2-9520-210d4b92b1ac/evidence/sandbox/sandbox_results.json","打开"),"打开")</x:f>
        <x:v>打开</x:v>
      </x:c>
    </x:row>
    <x:row r="6">
      <x:c r="A6" s="214" t="str">
        <x:v>失败/无报告排除</x:v>
      </x:c>
      <x:c r="B6" s="215" t="n">
        <x:v>100</x:v>
      </x:c>
      <x:c r="D6" s="214" t="str">
        <x:v>Git tree 匹配</x:v>
      </x:c>
      <x:c r="E6" s="215" t="str">
        <x:v>30/30</x:v>
      </x:c>
      <x:c r="G6" s="214" t="str">
        <x:v>根文件系统</x:v>
      </x:c>
      <x:c r="H6" s="225" t="str">
        <x:v>只读；仅 /sandbox/out 可写</x:v>
      </x:c>
      <x:c r="I6" s="225" t="str">
        <x:v>image_inspect.json</x:v>
      </x:c>
      <x:c r="J6" s="191" t="str">
        <x:f>IFERROR(HYPERLINK("file:///D:/openHarmonyScanner/outputs/01a14d00-bc78-7ac2-9520-210d4b92b1ac/evidence/sandbox/image_inspect.json","打开"),"打开")</x:f>
        <x:v>打开</x:v>
      </x:c>
    </x:row>
    <x:row r="7">
      <x:c r="A7" s="214" t="str">
        <x:v>总体诊断</x:v>
      </x:c>
      <x:c r="B7" s="215" t="n">
        <x:v>1645</x:v>
      </x:c>
      <x:c r="D7" s="214" t="str">
        <x:v>snapshot 重算匹配</x:v>
      </x:c>
      <x:c r="E7" s="215" t="str">
        <x:v>30/30</x:v>
      </x:c>
      <x:c r="G7" s="214" t="str">
        <x:v>权限</x:v>
      </x:c>
      <x:c r="H7" s="225" t="str">
        <x:v>cap-drop ALL；no-new-privileges</x:v>
      </x:c>
      <x:c r="I7" s="225" t="str">
        <x:v>image_inspect.json</x:v>
      </x:c>
      <x:c r="J7" s="191" t="str">
        <x:f>IFERROR(HYPERLINK("file:///D:/openHarmonyScanner/outputs/01a14d00-bc78-7ac2-9520-210d4b92b1ac/evidence/sandbox/image_inspect.json","打开"),"打开")</x:f>
        <x:v>打开</x:v>
      </x:c>
    </x:row>
    <x:row r="8">
      <x:c r="A8" s="214" t="str">
        <x:v>抽样报告</x:v>
      </x:c>
      <x:c r="B8" s="215" t="n">
        <x:v>30</x:v>
      </x:c>
      <x:c r="D8" s="214" t="str">
        <x:v>源码哈希匹配</x:v>
      </x:c>
      <x:c r="E8" s="215" t="str">
        <x:v>345/345</x:v>
      </x:c>
      <x:c r="G8" s="214" t="str">
        <x:v>资源</x:v>
      </x:c>
      <x:c r="H8" s="225" t="str">
        <x:v>CPU 1；RAM/swap 1 GiB；pids 64；30s</x:v>
      </x:c>
      <x:c r="I8" s="225" t="str">
        <x:v>sandbox_results.json</x:v>
      </x:c>
      <x:c r="J8" s="191" t="str">
        <x:f>IFERROR(HYPERLINK("file:///D:/openHarmonyScanner/outputs/01a14d00-bc78-7ac2-9520-210d4b92b1ac/evidence/sandbox/sandbox_results.json","打开"),"打开")</x:f>
        <x:v>打开</x:v>
      </x:c>
    </x:row>
    <x:row r="9">
      <x:c r="A9" s="214" t="str">
        <x:v>抽样构型</x:v>
      </x:c>
      <x:c r="B9" s="215" t="str">
        <x:v>20 有候选 + 10 零候选</x:v>
      </x:c>
      <x:c r="D9" s="214" t="str">
        <x:v>引用行存在</x:v>
      </x:c>
      <x:c r="E9" s="215" t="str">
        <x:v>345/345</x:v>
      </x:c>
      <x:c r="G9" s="214" t="str">
        <x:v>验证镜像</x:v>
      </x:c>
      <x:c r="H9" s="225" t="str">
        <x:v>sha256:e92d5365...f96ae</x:v>
      </x:c>
      <x:c r="I9" s="225" t="str">
        <x:v>image_inspect.json</x:v>
      </x:c>
      <x:c r="J9" s="191" t="str">
        <x:f>IFERROR(HYPERLINK("file:///D:/openHarmonyScanner/outputs/01a14d00-bc78-7ac2-9520-210d4b92b1ac/evidence/sandbox/image_inspect.json","打开"),"打开")</x:f>
        <x:v>打开</x:v>
      </x:c>
    </x:row>
    <x:row r="10">
      <x:c r="A10" s="214" t="str">
        <x:v>抽样诊断</x:v>
      </x:c>
      <x:c r="B10" s="215" t="n">
        <x:v>345</x:v>
      </x:c>
      <x:c r="D10" s="214" t="str">
        <x:v>溯源错误</x:v>
      </x:c>
      <x:c r="E10" s="215" t="n">
        <x:v>0</x:v>
      </x:c>
      <x:c r="G10" s="214" t="str">
        <x:v>sanitizer</x:v>
      </x:c>
      <x:c r="H10" s="225" t="str">
        <x:v>ASan/UBSan/TSan；每组 3 次重放</x:v>
      </x:c>
      <x:c r="I10" s="225" t="str">
        <x:v>sandbox_results.json</x:v>
      </x:c>
      <x:c r="J10" s="191" t="str">
        <x:f>IFERROR(HYPERLINK("file:///D:/openHarmonyScanner/outputs/01a14d00-bc78-7ac2-9520-210d4b92b1ac/evidence/sandbox/sandbox_results.json","打开"),"打开")</x:f>
        <x:v>打开</x:v>
      </x:c>
    </x:row>
    <x:row r="11">
      <x:c r="A11" s="216" t="str">
        <x:v>选择指纹</x:v>
      </x:c>
      <x:c r="B11" s="217" t="str">
        <x:v>16e7da3a1fe9fda80ae66dcda856b5e776b649c0d3ce9fd40de9240ddf56a979</x:v>
      </x:c>
      <x:c r="D11" s="216" t="str">
        <x:v>重复抽样一致</x:v>
      </x:c>
      <x:c r="E11" s="217" t="str">
        <x:v>是</x:v>
      </x:c>
      <x:c r="G11" s="216" t="str">
        <x:v>环境限制</x:v>
      </x:c>
      <x:c r="H11" s="226" t="str">
        <x:v>基础镜像本地替代；seccomp=unconfined 仅用于地址映射稳定</x:v>
      </x:c>
      <x:c r="I11" s="226" t="str">
        <x:v>environment.json</x:v>
      </x:c>
      <x:c r="J11" s="192" t="str">
        <x:f>IFERROR(HYPERLINK("file:///D:/openHarmonyScanner/outputs/01a14d00-bc78-7ac2-9520-210d4b92b1ac/evidence/environment.json","打开"),"打开")</x:f>
        <x:v>打开</x:v>
      </x:c>
    </x:row>
    <x:row r="13">
      <x:c r="A13" s="12" t="str">
        <x:v>序号</x:v>
      </x:c>
      <x:c r="B13" s="12" t="str">
        <x:v>分层</x:v>
      </x:c>
      <x:c r="C13" s="12" t="str">
        <x:v>库</x:v>
      </x:c>
      <x:c r="D13" s="12" t="str">
        <x:v>仓库</x:v>
      </x:c>
      <x:c r="E13" s="12" t="str">
        <x:v>commit</x:v>
      </x:c>
      <x:c r="F13" s="12" t="str">
        <x:v>snapshot SHA-256</x:v>
      </x:c>
      <x:c r="G13" s="12" t="str">
        <x:v>诊断数</x:v>
      </x:c>
      <x:c r="H13" s="12" t="str">
        <x:v>高优先级</x:v>
      </x:c>
      <x:c r="I13" s="12" t="str">
        <x:v>普通优先级</x:v>
      </x:c>
      <x:c r="J13" s="12" t="str">
        <x:v>结果 JSON</x:v>
      </x:c>
    </x:row>
    <x:row r="14" ht="30" customHeight="1">
      <x:c r="A14" s="230" t="n">
        <x:v>1</x:v>
      </x:c>
      <x:c r="B14" s="231" t="str">
        <x:v>有候选</x:v>
      </x:c>
      <x:c r="C14" s="224" t="str">
        <x:v>resourceschedule_resource_schedule_service</x:v>
      </x:c>
      <x:c r="D14" s="224" t="str">
        <x:v>openharmony/resourceschedule_resource_schedule_service</x:v>
      </x:c>
      <x:c r="E14" s="224" t="str">
        <x:v>6d60b51a0bc8528c901e42bd80459f9a2030cf9b</x:v>
      </x:c>
      <x:c r="F14" s="224" t="str">
        <x:v>49634682b584efdbe5ffe11c57b9fb49a0752e963cb22b2f0f4b5debd9f7c5e7</x:v>
      </x:c>
      <x:c r="G14" s="236" t="n">
        <x:v>4</x:v>
      </x:c>
      <x:c r="H14" s="236" t="n">
        <x:v>4</x:v>
      </x:c>
      <x:c r="I14" s="236" t="n">
        <x:v>0</x:v>
      </x:c>
      <x:c r="J14" s="190" t="str">
        <x:f>IFERROR(HYPERLINK("file:///D:/openHarmonyScanner/openharmony-full-scan-20261017/projects/0260-resourceschedule_resource_schedule_service-ecb69560f2/result.json","查看 result.json"),"查看 result.json")</x:f>
        <x:v>查看 result.json</x:v>
      </x:c>
    </x:row>
    <x:row r="15" ht="30" customHeight="1">
      <x:c r="A15" s="232" t="n">
        <x:v>2</x:v>
      </x:c>
      <x:c r="B15" s="233" t="str">
        <x:v>有候选</x:v>
      </x:c>
      <x:c r="C15" s="225" t="str">
        <x:v>distributeddatamgr_data_share</x:v>
      </x:c>
      <x:c r="D15" s="225" t="str">
        <x:v>openharmony/distributeddatamgr_data_share</x:v>
      </x:c>
      <x:c r="E15" s="225" t="str">
        <x:v>560c5cdadf08b4beeb691e93d70ff32cc2dca8bd</x:v>
      </x:c>
      <x:c r="F15" s="225" t="str">
        <x:v>68007b3ab440834b9aaafbba4c3e35515c482e1786c88e3cbf8bda97183cb568</x:v>
      </x:c>
      <x:c r="G15" s="237" t="n">
        <x:v>15</x:v>
      </x:c>
      <x:c r="H15" s="237" t="n">
        <x:v>14</x:v>
      </x:c>
      <x:c r="I15" s="237" t="n">
        <x:v>1</x:v>
      </x:c>
      <x:c r="J15" s="191" t="str">
        <x:f>IFERROR(HYPERLINK("file:///D:/openHarmonyScanner/openharmony-full-scan-20261017/projects/0135-distributeddatamgr_data_share-f9c2cc4099/result.json","查看 result.json"),"查看 result.json")</x:f>
        <x:v>查看 result.json</x:v>
      </x:c>
    </x:row>
    <x:row r="16" ht="30" customHeight="1">
      <x:c r="A16" s="232" t="n">
        <x:v>3</x:v>
      </x:c>
      <x:c r="B16" s="233" t="str">
        <x:v>有候选</x:v>
      </x:c>
      <x:c r="C16" s="225" t="str">
        <x:v>distributeddatamgr_preferences</x:v>
      </x:c>
      <x:c r="D16" s="225" t="str">
        <x:v>openharmony/distributeddatamgr_preferences</x:v>
      </x:c>
      <x:c r="E16" s="225" t="str">
        <x:v>bff9efd79afc0d7d1ed22a63ff355f1600404596</x:v>
      </x:c>
      <x:c r="F16" s="225" t="str">
        <x:v>2ea7b454a5f8d77e35d64b5240e57b127d501975c783ca14db28c016fec9b560</x:v>
      </x:c>
      <x:c r="G16" s="237" t="n">
        <x:v>96</x:v>
      </x:c>
      <x:c r="H16" s="237" t="n">
        <x:v>96</x:v>
      </x:c>
      <x:c r="I16" s="237" t="n">
        <x:v>0</x:v>
      </x:c>
      <x:c r="J16" s="191" t="str">
        <x:f>IFERROR(HYPERLINK("file:///D:/openHarmonyScanner/openharmony-full-scan-20261017/projects/0141-distributeddatamgr_preferences-112140a033/result.json","查看 result.json"),"查看 result.json")</x:f>
        <x:v>查看 result.json</x:v>
      </x:c>
    </x:row>
    <x:row r="17" ht="30" customHeight="1">
      <x:c r="A17" s="232" t="n">
        <x:v>4</x:v>
      </x:c>
      <x:c r="B17" s="233" t="str">
        <x:v>有候选</x:v>
      </x:c>
      <x:c r="C17" s="225" t="str">
        <x:v>distributedhardware_mechbody_controller</x:v>
      </x:c>
      <x:c r="D17" s="225" t="str">
        <x:v>openharmony/distributedhardware_mechbody_controller</x:v>
      </x:c>
      <x:c r="E17" s="225" t="str">
        <x:v>6e875a2dc5a7748bfdcbec1ccf9f1153574fa03e</x:v>
      </x:c>
      <x:c r="F17" s="225" t="str">
        <x:v>f2a8edf5456187170403ebf59ac480afe86b2cf13f7a487ec8d9ca793ba6b4c3</x:v>
      </x:c>
      <x:c r="G17" s="237" t="n">
        <x:v>3</x:v>
      </x:c>
      <x:c r="H17" s="237" t="n">
        <x:v>0</x:v>
      </x:c>
      <x:c r="I17" s="237" t="n">
        <x:v>3</x:v>
      </x:c>
      <x:c r="J17" s="191" t="str">
        <x:f>IFERROR(HYPERLINK("file:///D:/openHarmonyScanner/openharmony-full-scan-20261017/projects/0150-distributedhardware_mechbody_controller-930932aa9a/result.json","查看 result.json"),"查看 result.json")</x:f>
        <x:v>查看 result.json</x:v>
      </x:c>
    </x:row>
    <x:row r="18" ht="30" customHeight="1">
      <x:c r="A18" s="232" t="n">
        <x:v>5</x:v>
      </x:c>
      <x:c r="B18" s="233" t="str">
        <x:v>有候选</x:v>
      </x:c>
      <x:c r="C18" s="225" t="str">
        <x:v>hiviewdfx_faultloggerd</x:v>
      </x:c>
      <x:c r="D18" s="225" t="str">
        <x:v>openharmony/hiviewdfx_faultloggerd</x:v>
      </x:c>
      <x:c r="E18" s="225" t="str">
        <x:v>50c7dffc057a32987d5eeb7626c20e1b3717c77b</x:v>
      </x:c>
      <x:c r="F18" s="225" t="str">
        <x:v>60c2cf8f9729770044ab44c3f1c77868aed64ccadd91963ed03e74d946aa3953</x:v>
      </x:c>
      <x:c r="G18" s="237" t="n">
        <x:v>55</x:v>
      </x:c>
      <x:c r="H18" s="237" t="n">
        <x:v>55</x:v>
      </x:c>
      <x:c r="I18" s="237" t="n">
        <x:v>0</x:v>
      </x:c>
      <x:c r="J18" s="191" t="str">
        <x:f>IFERROR(HYPERLINK("file:///D:/openHarmonyScanner/openharmony-full-scan-20261017/projects/0183-hiviewdfx_faultloggerd-68fd25dd69/result.json","查看 result.json"),"查看 result.json")</x:f>
        <x:v>查看 result.json</x:v>
      </x:c>
    </x:row>
    <x:row r="19" ht="30" customHeight="1">
      <x:c r="A19" s="232" t="n">
        <x:v>6</x:v>
      </x:c>
      <x:c r="B19" s="233" t="str">
        <x:v>有候选</x:v>
      </x:c>
      <x:c r="C19" s="225" t="str">
        <x:v>multimedia_player_framework</x:v>
      </x:c>
      <x:c r="D19" s="225" t="str">
        <x:v>openharmony/multimedia_player_framework</x:v>
      </x:c>
      <x:c r="E19" s="225" t="str">
        <x:v>71ab1e0881e0a79f2b9528742677467e7bb8dde5</x:v>
      </x:c>
      <x:c r="F19" s="225" t="str">
        <x:v>26aaba63501bd9d012c97d590a68769e4a57d326f4ec37abf7ef1aa7a88f656b</x:v>
      </x:c>
      <x:c r="G19" s="237" t="n">
        <x:v>23</x:v>
      </x:c>
      <x:c r="H19" s="237" t="n">
        <x:v>0</x:v>
      </x:c>
      <x:c r="I19" s="237" t="n">
        <x:v>23</x:v>
      </x:c>
      <x:c r="J19" s="191" t="str">
        <x:f>IFERROR(HYPERLINK("file:///D:/openHarmonyScanner/openharmony-full-scan-20261017/projects/0230-multimedia_player_framework-2d550007ba/result.json","查看 result.json"),"查看 result.json")</x:f>
        <x:v>查看 result.json</x:v>
      </x:c>
    </x:row>
    <x:row r="20" ht="30" customHeight="1">
      <x:c r="A20" s="232" t="n">
        <x:v>7</x:v>
      </x:c>
      <x:c r="B20" s="233" t="str">
        <x:v>有候选</x:v>
      </x:c>
      <x:c r="C20" s="225" t="str">
        <x:v>arkcompiler_taihe_ffi_gen</x:v>
      </x:c>
      <x:c r="D20" s="225" t="str">
        <x:v>openharmony/arkcompiler_taihe_ffi_gen</x:v>
      </x:c>
      <x:c r="E20" s="225" t="str">
        <x:v>d91f43e80d892bca694c6b0fce8ea27cd644919f</x:v>
      </x:c>
      <x:c r="F20" s="225" t="str">
        <x:v>5a0bedc64b06bf242d08260949097c8ef81b6568f031f7996610bf5befe73476</x:v>
      </x:c>
      <x:c r="G20" s="237" t="n">
        <x:v>17</x:v>
      </x:c>
      <x:c r="H20" s="237" t="n">
        <x:v>17</x:v>
      </x:c>
      <x:c r="I20" s="237" t="n">
        <x:v>0</x:v>
      </x:c>
      <x:c r="J20" s="191" t="str">
        <x:f>IFERROR(HYPERLINK("file:///D:/openHarmonyScanner/openharmony-full-scan-20261017/projects/0062-arkcompiler_taihe_ffi_gen-95ca0b120b/result.json","查看 result.json"),"查看 result.json")</x:f>
        <x:v>查看 result.json</x:v>
      </x:c>
    </x:row>
    <x:row r="21" ht="30" customHeight="1">
      <x:c r="A21" s="232" t="n">
        <x:v>8</x:v>
      </x:c>
      <x:c r="B21" s="233" t="str">
        <x:v>有候选</x:v>
      </x:c>
      <x:c r="C21" s="225" t="str">
        <x:v>systemabilitymgr_samgr</x:v>
      </x:c>
      <x:c r="D21" s="225" t="str">
        <x:v>openharmony/systemabilitymgr_samgr</x:v>
      </x:c>
      <x:c r="E21" s="225" t="str">
        <x:v>08e2a552b839ea7727251cb9b749a5c1dd9cfeff</x:v>
      </x:c>
      <x:c r="F21" s="225" t="str">
        <x:v>0d5f2c628091b3e22b4c63a05c3fc4bd3aac5def339e8edcc002a86ca9788736</x:v>
      </x:c>
      <x:c r="G21" s="237" t="n">
        <x:v>17</x:v>
      </x:c>
      <x:c r="H21" s="237" t="n">
        <x:v>10</x:v>
      </x:c>
      <x:c r="I21" s="237" t="n">
        <x:v>7</x:v>
      </x:c>
      <x:c r="J21" s="191" t="str">
        <x:f>IFERROR(HYPERLINK("file:///D:/openHarmonyScanner/openharmony-full-scan-20261017/projects/0295-systemabilitymgr_samgr-ef805d57fb/result.json","查看 result.json"),"查看 result.json")</x:f>
        <x:v>查看 result.json</x:v>
      </x:c>
    </x:row>
    <x:row r="22" ht="30" customHeight="1">
      <x:c r="A22" s="232" t="n">
        <x:v>9</x:v>
      </x:c>
      <x:c r="B22" s="233" t="str">
        <x:v>有候选</x:v>
      </x:c>
      <x:c r="C22" s="225" t="str">
        <x:v>systemabilitymgr_safwk</x:v>
      </x:c>
      <x:c r="D22" s="225" t="str">
        <x:v>openharmony/systemabilitymgr_safwk</x:v>
      </x:c>
      <x:c r="E22" s="225" t="str">
        <x:v>21c83c874a34e8d28e6a355a3b56e5167252ed27</x:v>
      </x:c>
      <x:c r="F22" s="225" t="str">
        <x:v>aa4632c190161af3f8f46ae73272e00e1277bca422fd91d77a9cadd4f207e315</x:v>
      </x:c>
      <x:c r="G22" s="237" t="n">
        <x:v>21</x:v>
      </x:c>
      <x:c r="H22" s="237" t="n">
        <x:v>15</x:v>
      </x:c>
      <x:c r="I22" s="237" t="n">
        <x:v>6</x:v>
      </x:c>
      <x:c r="J22" s="191" t="str">
        <x:f>IFERROR(HYPERLINK("file:///D:/openHarmonyScanner/openharmony-full-scan-20261017/projects/0293-systemabilitymgr_safwk-3b002df152/result.json","查看 result.json"),"查看 result.json")</x:f>
        <x:v>查看 result.json</x:v>
      </x:c>
    </x:row>
    <x:row r="23" ht="30" customHeight="1">
      <x:c r="A23" s="232" t="n">
        <x:v>10</x:v>
      </x:c>
      <x:c r="B23" s="233" t="str">
        <x:v>有候选</x:v>
      </x:c>
      <x:c r="C23" s="225" t="str">
        <x:v>powermgr_battery_statistics</x:v>
      </x:c>
      <x:c r="D23" s="225" t="str">
        <x:v>openharmony/powermgr_battery_statistics</x:v>
      </x:c>
      <x:c r="E23" s="225" t="str">
        <x:v>271a545acc0ececc746cfe0bb7c1501943df7c64</x:v>
      </x:c>
      <x:c r="F23" s="225" t="str">
        <x:v>da26667393dc51a9af3951ec8c495222b904109ef0174ff9d64fdfc8823995d6</x:v>
      </x:c>
      <x:c r="G23" s="237" t="n">
        <x:v>3</x:v>
      </x:c>
      <x:c r="H23" s="237" t="n">
        <x:v>3</x:v>
      </x:c>
      <x:c r="I23" s="237" t="n">
        <x:v>0</x:v>
      </x:c>
      <x:c r="J23" s="191" t="str">
        <x:f>IFERROR(HYPERLINK("file:///D:/openHarmonyScanner/openharmony-full-scan-20261017/projects/0244-powermgr_battery_statistics-dc44d7ec5b/result.json","查看 result.json"),"查看 result.json")</x:f>
        <x:v>查看 result.json</x:v>
      </x:c>
    </x:row>
    <x:row r="24" ht="30" customHeight="1">
      <x:c r="A24" s="232" t="n">
        <x:v>11</x:v>
      </x:c>
      <x:c r="B24" s="233" t="str">
        <x:v>有候选</x:v>
      </x:c>
      <x:c r="C24" s="225" t="str">
        <x:v>global_i18n</x:v>
      </x:c>
      <x:c r="D24" s="225" t="str">
        <x:v>openharmony/global_i18n</x:v>
      </x:c>
      <x:c r="E24" s="225" t="str">
        <x:v>d13c698ebb238fa416a711bd3befe871e85721b6</x:v>
      </x:c>
      <x:c r="F24" s="225" t="str">
        <x:v>533c3b8e09bbe318349ff90d92d07e2ea5d13fb2730f5fad2b102f6a0a7c54f8</x:v>
      </x:c>
      <x:c r="G24" s="237" t="n">
        <x:v>2</x:v>
      </x:c>
      <x:c r="H24" s="237" t="n">
        <x:v>2</x:v>
      </x:c>
      <x:c r="I24" s="237" t="n">
        <x:v>0</x:v>
      </x:c>
      <x:c r="J24" s="191" t="str">
        <x:f>IFERROR(HYPERLINK("file:///D:/openHarmonyScanner/openharmony-full-scan-20261017/projects/0168-global_i18n-2ee1b179d9/result.json","查看 result.json"),"查看 result.json")</x:f>
        <x:v>查看 result.json</x:v>
      </x:c>
    </x:row>
    <x:row r="25" ht="30" customHeight="1">
      <x:c r="A25" s="232" t="n">
        <x:v>12</x:v>
      </x:c>
      <x:c r="B25" s="233" t="str">
        <x:v>有候选</x:v>
      </x:c>
      <x:c r="C25" s="225" t="str">
        <x:v>multimedia_camera_framework</x:v>
      </x:c>
      <x:c r="D25" s="225" t="str">
        <x:v>openharmony/multimedia_camera_framework</x:v>
      </x:c>
      <x:c r="E25" s="225" t="str">
        <x:v>35445b57d739a41cb916330935e61f1e83d982ca</x:v>
      </x:c>
      <x:c r="F25" s="225" t="str">
        <x:v>97c4ffbb0c4a58fd8600f194180c1d6a58eddcfbd747b22d8bf5acc3121fdeb5</x:v>
      </x:c>
      <x:c r="G25" s="237" t="n">
        <x:v>43</x:v>
      </x:c>
      <x:c r="H25" s="237" t="n">
        <x:v>36</x:v>
      </x:c>
      <x:c r="I25" s="237" t="n">
        <x:v>7</x:v>
      </x:c>
      <x:c r="J25" s="191" t="str">
        <x:f>IFERROR(HYPERLINK("file:///D:/openHarmonyScanner/openharmony-full-scan-20261017/projects/0219-multimedia_camera_framework-52c3e5b892/result.json","查看 result.json"),"查看 result.json")</x:f>
        <x:v>查看 result.json</x:v>
      </x:c>
    </x:row>
    <x:row r="26" ht="30" customHeight="1">
      <x:c r="A26" s="232" t="n">
        <x:v>13</x:v>
      </x:c>
      <x:c r="B26" s="233" t="str">
        <x:v>有候选</x:v>
      </x:c>
      <x:c r="C26" s="225" t="str">
        <x:v>developtools_hapsigner</x:v>
      </x:c>
      <x:c r="D26" s="225" t="str">
        <x:v>openharmony/developtools_hapsigner</x:v>
      </x:c>
      <x:c r="E26" s="225" t="str">
        <x:v>2697b2298b111e90c0999e79595645a68437f3d7</x:v>
      </x:c>
      <x:c r="F26" s="225" t="str">
        <x:v>18377e110d6bd86a1fcb92d1465ef951026f23b1bcb16569c6d4abb8aa81ef2d</x:v>
      </x:c>
      <x:c r="G26" s="237" t="n">
        <x:v>1</x:v>
      </x:c>
      <x:c r="H26" s="237" t="n">
        <x:v>1</x:v>
      </x:c>
      <x:c r="I26" s="237" t="n">
        <x:v>0</x:v>
      </x:c>
      <x:c r="J26" s="191" t="str">
        <x:f>IFERROR(HYPERLINK("file:///D:/openHarmonyScanner/openharmony-full-scan-20261017/projects/0118-developtools_hapsigner-af055951ad/result.json","查看 result.json"),"查看 result.json")</x:f>
        <x:v>查看 result.json</x:v>
      </x:c>
    </x:row>
    <x:row r="27" ht="30" customHeight="1">
      <x:c r="A27" s="232" t="n">
        <x:v>14</x:v>
      </x:c>
      <x:c r="B27" s="233" t="str">
        <x:v>有候选</x:v>
      </x:c>
      <x:c r="C27" s="225" t="str">
        <x:v>ai_intelligent_voice_framework</x:v>
      </x:c>
      <x:c r="D27" s="225" t="str">
        <x:v>openharmony/ai_intelligent_voice_framework</x:v>
      </x:c>
      <x:c r="E27" s="225" t="str">
        <x:v>19188608475123695def986a399641bfa64a49f7</x:v>
      </x:c>
      <x:c r="F27" s="225" t="str">
        <x:v>a2499e0c8f9ba4ec53e169f6c88d46cc10004f69d6b1b7339f80cf9b5891a4d5</x:v>
      </x:c>
      <x:c r="G27" s="237" t="n">
        <x:v>5</x:v>
      </x:c>
      <x:c r="H27" s="237" t="n">
        <x:v>5</x:v>
      </x:c>
      <x:c r="I27" s="237" t="n">
        <x:v>0</x:v>
      </x:c>
      <x:c r="J27" s="191" t="str">
        <x:f>IFERROR(HYPERLINK("file:///D:/openHarmonyScanner/openharmony-full-scan-20261017/projects/0016-ai_intelligent_voice_framework-87ae0c90b0/result.json","查看 result.json"),"查看 result.json")</x:f>
        <x:v>查看 result.json</x:v>
      </x:c>
    </x:row>
    <x:row r="28" ht="30" customHeight="1">
      <x:c r="A28" s="232" t="n">
        <x:v>15</x:v>
      </x:c>
      <x:c r="B28" s="233" t="str">
        <x:v>有候选</x:v>
      </x:c>
      <x:c r="C28" s="225" t="str">
        <x:v>customization_enterprise_device_management</x:v>
      </x:c>
      <x:c r="D28" s="225" t="str">
        <x:v>openharmony/customization_enterprise_device_management</x:v>
      </x:c>
      <x:c r="E28" s="225" t="str">
        <x:v>e1e278bc85dc0277ab79cfdc029558a61492d3da</x:v>
      </x:c>
      <x:c r="F28" s="225" t="str">
        <x:v>2ba9513076c1a7356830947a8fc7076d89026c31bddaada1b1216d0b378143fe</x:v>
      </x:c>
      <x:c r="G28" s="237" t="n">
        <x:v>8</x:v>
      </x:c>
      <x:c r="H28" s="237" t="n">
        <x:v>0</x:v>
      </x:c>
      <x:c r="I28" s="237" t="n">
        <x:v>8</x:v>
      </x:c>
      <x:c r="J28" s="191" t="str">
        <x:f>IFERROR(HYPERLINK("file:///D:/openHarmonyScanner/openharmony-full-scan-20261017/projects/0114-customization_enterprise_device_management-60d012bf2d/result.json","查看 result.json"),"查看 result.json")</x:f>
        <x:v>查看 result.json</x:v>
      </x:c>
    </x:row>
    <x:row r="29" ht="30" customHeight="1">
      <x:c r="A29" s="232" t="n">
        <x:v>16</x:v>
      </x:c>
      <x:c r="B29" s="233" t="str">
        <x:v>有候选</x:v>
      </x:c>
      <x:c r="C29" s="225" t="str">
        <x:v>ability_ability_base</x:v>
      </x:c>
      <x:c r="D29" s="225" t="str">
        <x:v>openharmony/ability_ability_base</x:v>
      </x:c>
      <x:c r="E29" s="225" t="str">
        <x:v>eaeaa31a6d07cf74fdec1c4e48dfe19c64e25cae</x:v>
      </x:c>
      <x:c r="F29" s="225" t="str">
        <x:v>088feb3c9186b35dfc9dc3eb52732cd5bfe1df0786b83e63e529909111160886</x:v>
      </x:c>
      <x:c r="G29" s="237" t="n">
        <x:v>1</x:v>
      </x:c>
      <x:c r="H29" s="237" t="n">
        <x:v>1</x:v>
      </x:c>
      <x:c r="I29" s="237" t="n">
        <x:v>0</x:v>
      </x:c>
      <x:c r="J29" s="191" t="str">
        <x:f>IFERROR(HYPERLINK("file:///D:/openHarmonyScanner/openharmony-full-scan-20261017/projects/0001-ability_ability_base-48d8a8559a/result.json","查看 result.json"),"查看 result.json")</x:f>
        <x:v>查看 result.json</x:v>
      </x:c>
    </x:row>
    <x:row r="30" ht="30" customHeight="1">
      <x:c r="A30" s="232" t="n">
        <x:v>17</x:v>
      </x:c>
      <x:c r="B30" s="233" t="str">
        <x:v>有候选</x:v>
      </x:c>
      <x:c r="C30" s="225" t="str">
        <x:v>security_certificate_manager</x:v>
      </x:c>
      <x:c r="D30" s="225" t="str">
        <x:v>openharmony/security_certificate_manager</x:v>
      </x:c>
      <x:c r="E30" s="225" t="str">
        <x:v>5fcc0b6379567a70176307c281360be2ba281d6b</x:v>
      </x:c>
      <x:c r="F30" s="225" t="str">
        <x:v>29011fc39f63338f3fa4fcb61f59d59231b80785125ba31b5d18aed1b294fe1a</x:v>
      </x:c>
      <x:c r="G30" s="237" t="n">
        <x:v>2</x:v>
      </x:c>
      <x:c r="H30" s="237" t="n">
        <x:v>1</x:v>
      </x:c>
      <x:c r="I30" s="237" t="n">
        <x:v>1</x:v>
      </x:c>
      <x:c r="J30" s="191" t="str">
        <x:f>IFERROR(HYPERLINK("file:///D:/openHarmonyScanner/openharmony-full-scan-20261017/projects/0267-security_certificate_manager-920d5cb48d/result.json","查看 result.json"),"查看 result.json")</x:f>
        <x:v>查看 result.json</x:v>
      </x:c>
    </x:row>
    <x:row r="31" ht="30" customHeight="1">
      <x:c r="A31" s="232" t="n">
        <x:v>18</x:v>
      </x:c>
      <x:c r="B31" s="233" t="str">
        <x:v>有候选</x:v>
      </x:c>
      <x:c r="C31" s="225" t="str">
        <x:v>communication_wifi</x:v>
      </x:c>
      <x:c r="D31" s="225" t="str">
        <x:v>openharmony/communication_wifi</x:v>
      </x:c>
      <x:c r="E31" s="225" t="str">
        <x:v>e336c82b3b107d87f68c5e0448cc246b50b53b38</x:v>
      </x:c>
      <x:c r="F31" s="225" t="str">
        <x:v>73738f024a2ca37213d02251ab70e6cfa9a41b05ebd68051778d5dc3c1347e89</x:v>
      </x:c>
      <x:c r="G31" s="237" t="n">
        <x:v>24</x:v>
      </x:c>
      <x:c r="H31" s="237" t="n">
        <x:v>20</x:v>
      </x:c>
      <x:c r="I31" s="237" t="n">
        <x:v>4</x:v>
      </x:c>
      <x:c r="J31" s="191" t="str">
        <x:f>IFERROR(HYPERLINK("file:///D:/openHarmonyScanner/openharmony-full-scan-20261017/projects/0108-communication_wifi-dc3cce08a5/result.json","查看 result.json"),"查看 result.json")</x:f>
        <x:v>查看 result.json</x:v>
      </x:c>
    </x:row>
    <x:row r="32" ht="30" customHeight="1">
      <x:c r="A32" s="232" t="n">
        <x:v>19</x:v>
      </x:c>
      <x:c r="B32" s="233" t="str">
        <x:v>有候选</x:v>
      </x:c>
      <x:c r="C32" s="225" t="str">
        <x:v>security_huks</x:v>
      </x:c>
      <x:c r="D32" s="225" t="str">
        <x:v>openharmony/security_huks</x:v>
      </x:c>
      <x:c r="E32" s="225" t="str">
        <x:v>4ae4e0db461f137672719d43ffc6c5b1b6c05be8</x:v>
      </x:c>
      <x:c r="F32" s="225" t="str">
        <x:v>9fc6f1440f14899a71e9d4b99bd343782ad97eae5d1fa66b44c7fe23f4d3992c</x:v>
      </x:c>
      <x:c r="G32" s="237" t="n">
        <x:v>2</x:v>
      </x:c>
      <x:c r="H32" s="237" t="n">
        <x:v>2</x:v>
      </x:c>
      <x:c r="I32" s="237" t="n">
        <x:v>0</x:v>
      </x:c>
      <x:c r="J32" s="191" t="str">
        <x:f>IFERROR(HYPERLINK("file:///D:/openHarmonyScanner/openharmony-full-scan-20261017/projects/0274-security_huks-0df3796d95/result.json","查看 result.json"),"查看 result.json")</x:f>
        <x:v>查看 result.json</x:v>
      </x:c>
    </x:row>
    <x:row r="33" ht="30" customHeight="1">
      <x:c r="A33" s="232" t="n">
        <x:v>20</x:v>
      </x:c>
      <x:c r="B33" s="233" t="str">
        <x:v>有候选</x:v>
      </x:c>
      <x:c r="C33" s="225" t="str">
        <x:v>telephony_sms_mms</x:v>
      </x:c>
      <x:c r="D33" s="225" t="str">
        <x:v>openharmony/telephony_sms_mms</x:v>
      </x:c>
      <x:c r="E33" s="225" t="str">
        <x:v>41cef006c6c4b7fdc9ee0bb8d9ae659ee2ebbfd8</x:v>
      </x:c>
      <x:c r="F33" s="225" t="str">
        <x:v>a8ae4607362a6bd3d6a4bfa90f0d7b673399069f90eab6952e4bd403b73cac46</x:v>
      </x:c>
      <x:c r="G33" s="237" t="n">
        <x:v>3</x:v>
      </x:c>
      <x:c r="H33" s="237" t="n">
        <x:v>1</x:v>
      </x:c>
      <x:c r="I33" s="237" t="n">
        <x:v>2</x:v>
      </x:c>
      <x:c r="J33" s="191" t="str">
        <x:f>IFERROR(HYPERLINK("file:///D:/openHarmonyScanner/openharmony-full-scan-20261017/projects/0307-telephony_sms_mms-c2b157e676/result.json","查看 result.json"),"查看 result.json")</x:f>
        <x:v>查看 result.json</x:v>
      </x:c>
    </x:row>
    <x:row r="34" ht="30" customHeight="1">
      <x:c r="A34" s="232" t="n">
        <x:v>21</x:v>
      </x:c>
      <x:c r="B34" s="233" t="str">
        <x:v>零候选</x:v>
      </x:c>
      <x:c r="C34" s="225" t="str">
        <x:v>commonlibrary_memory_utils</x:v>
      </x:c>
      <x:c r="D34" s="225" t="str">
        <x:v>openharmony/commonlibrary_memory_utils</x:v>
      </x:c>
      <x:c r="E34" s="225" t="str">
        <x:v>1d131f49823cbb67fdd684595342185af6e7043c</x:v>
      </x:c>
      <x:c r="F34" s="225" t="str">
        <x:v>1359c4203254e564d017fc5596a432c8cc54532e4ded3eeeb4f8d1f30f6b77d5</x:v>
      </x:c>
      <x:c r="G34" s="237" t="n">
        <x:v>0</x:v>
      </x:c>
      <x:c r="H34" s="237" t="n">
        <x:v>0</x:v>
      </x:c>
      <x:c r="I34" s="237" t="n">
        <x:v>0</x:v>
      </x:c>
      <x:c r="J34" s="191" t="str">
        <x:f>IFERROR(HYPERLINK("file:///D:/openHarmonyScanner/openharmony-full-scan-20261017/projects/0088-commonlibrary_memory_utils-2d720c118f/result.json","查看 result.json"),"查看 result.json")</x:f>
        <x:v>查看 result.json</x:v>
      </x:c>
    </x:row>
    <x:row r="35" ht="30" customHeight="1">
      <x:c r="A35" s="232" t="n">
        <x:v>22</x:v>
      </x:c>
      <x:c r="B35" s="233" t="str">
        <x:v>零候选</x:v>
      </x:c>
      <x:c r="C35" s="225" t="str">
        <x:v>applications_notes</x:v>
      </x:c>
      <x:c r="D35" s="225" t="str">
        <x:v>openharmony/applications_notes</x:v>
      </x:c>
      <x:c r="E35" s="225" t="str">
        <x:v>93b08f4afb1874b93329b19b879a6f52956af242</x:v>
      </x:c>
      <x:c r="F35" s="225" t="str">
        <x:v>3c400e2672127e67091322acb2908a28ded91016f4edf2d5955a8224d403a68b</x:v>
      </x:c>
      <x:c r="G35" s="237" t="n">
        <x:v>0</x:v>
      </x:c>
      <x:c r="H35" s="237" t="n">
        <x:v>0</x:v>
      </x:c>
      <x:c r="I35" s="237" t="n">
        <x:v>0</x:v>
      </x:c>
      <x:c r="J35" s="191" t="str">
        <x:f>IFERROR(HYPERLINK("file:///D:/openHarmonyScanner/openharmony-full-scan-20261017/projects/0037-applications_notes-7149bf56fc/result.json","查看 result.json"),"查看 result.json")</x:f>
        <x:v>查看 result.json</x:v>
      </x:c>
    </x:row>
    <x:row r="36" ht="30" customHeight="1">
      <x:c r="A36" s="232" t="n">
        <x:v>23</x:v>
      </x:c>
      <x:c r="B36" s="233" t="str">
        <x:v>零候选</x:v>
      </x:c>
      <x:c r="C36" s="225" t="str">
        <x:v>security_privacy_center</x:v>
      </x:c>
      <x:c r="D36" s="225" t="str">
        <x:v>openharmony/security_privacy_center</x:v>
      </x:c>
      <x:c r="E36" s="225" t="str">
        <x:v>30d8900a285c47a639e23e07afa927b9c017e4f9</x:v>
      </x:c>
      <x:c r="F36" s="225" t="str">
        <x:v>dab9a353ade802cab45ba5494ec3a3fa96cd6f330d038da261af39481d734afd</x:v>
      </x:c>
      <x:c r="G36" s="237" t="n">
        <x:v>0</x:v>
      </x:c>
      <x:c r="H36" s="237" t="n">
        <x:v>0</x:v>
      </x:c>
      <x:c r="I36" s="237" t="n">
        <x:v>0</x:v>
      </x:c>
      <x:c r="J36" s="191" t="str">
        <x:f>IFERROR(HYPERLINK("file:///D:/openHarmonyScanner/openharmony-full-scan-20261017/projects/0276-security_privacy_center-3ca73d67ee/result.json","查看 result.json"),"查看 result.json")</x:f>
        <x:v>查看 result.json</x:v>
      </x:c>
    </x:row>
    <x:row r="37" ht="30" customHeight="1">
      <x:c r="A37" s="232" t="n">
        <x:v>24</x:v>
      </x:c>
      <x:c r="B37" s="233" t="str">
        <x:v>零候选</x:v>
      </x:c>
      <x:c r="C37" s="225" t="str">
        <x:v>kernel_linux_build</x:v>
      </x:c>
      <x:c r="D37" s="225" t="str">
        <x:v>openharmony/kernel_linux_build</x:v>
      </x:c>
      <x:c r="E37" s="225" t="str">
        <x:v>f99b7582473a9a92a2a09d9d94719728ec913994</x:v>
      </x:c>
      <x:c r="F37" s="225" t="str">
        <x:v>221ba86ff51d9698279ff78f17b597bbb276103603b382a8ba7a1d155a02eed7</x:v>
      </x:c>
      <x:c r="G37" s="237" t="n">
        <x:v>0</x:v>
      </x:c>
      <x:c r="H37" s="237" t="n">
        <x:v>0</x:v>
      </x:c>
      <x:c r="I37" s="237" t="n">
        <x:v>0</x:v>
      </x:c>
      <x:c r="J37" s="191" t="str">
        <x:f>IFERROR(HYPERLINK("file:///D:/openHarmonyScanner/openharmony-full-scan-20261017/projects/0205-kernel_linux_build-a223b38600/result.json","查看 result.json"),"查看 result.json")</x:f>
        <x:v>查看 result.json</x:v>
      </x:c>
    </x:row>
    <x:row r="38" ht="30" customHeight="1">
      <x:c r="A38" s="232" t="n">
        <x:v>25</x:v>
      </x:c>
      <x:c r="B38" s="233" t="str">
        <x:v>零候选</x:v>
      </x:c>
      <x:c r="C38" s="225" t="str">
        <x:v>third_party_lame</x:v>
      </x:c>
      <x:c r="D38" s="225" t="str">
        <x:v>openharmony/third_party_lame</x:v>
      </x:c>
      <x:c r="E38" s="225" t="str">
        <x:v>3efbd227aa7e0ced3981eac58e814bd8a35f88c3</x:v>
      </x:c>
      <x:c r="F38" s="225" t="str">
        <x:v>5b61032850f0a52e213642af6266890ab9ee1001da880ac6790ee4de8bca26a5</x:v>
      </x:c>
      <x:c r="G38" s="237" t="n">
        <x:v>0</x:v>
      </x:c>
      <x:c r="H38" s="237" t="n">
        <x:v>0</x:v>
      </x:c>
      <x:c r="I38" s="237" t="n">
        <x:v>0</x:v>
      </x:c>
      <x:c r="J38" s="191" t="str">
        <x:f>IFERROR(HYPERLINK("file:///D:/openHarmonyScanner/openharmony-full-scan-20261017/projects/0366-third_party_lame-77749ddf24/result.json","查看 result.json"),"查看 result.json")</x:f>
        <x:v>查看 result.json</x:v>
      </x:c>
    </x:row>
    <x:row r="39" ht="30" customHeight="1">
      <x:c r="A39" s="232" t="n">
        <x:v>26</x:v>
      </x:c>
      <x:c r="B39" s="233" t="str">
        <x:v>零候选</x:v>
      </x:c>
      <x:c r="C39" s="225" t="str">
        <x:v>distributeddatamgr_datamgr_service</x:v>
      </x:c>
      <x:c r="D39" s="225" t="str">
        <x:v>openharmony/distributeddatamgr_datamgr_service</x:v>
      </x:c>
      <x:c r="E39" s="225" t="str">
        <x:v>a6ba8ce1ec700c1a07e80dcc146f40b179d519af</x:v>
      </x:c>
      <x:c r="F39" s="225" t="str">
        <x:v>1157c96c39e005c1921871e89cd4b470ca5e9baed2850452ed0199daa0bb5f6a</x:v>
      </x:c>
      <x:c r="G39" s="237" t="n">
        <x:v>0</x:v>
      </x:c>
      <x:c r="H39" s="237" t="n">
        <x:v>0</x:v>
      </x:c>
      <x:c r="I39" s="237" t="n">
        <x:v>0</x:v>
      </x:c>
      <x:c r="J39" s="191" t="str">
        <x:f>IFERROR(HYPERLINK("file:///D:/openHarmonyScanner/openharmony-full-scan-20261017/projects/0136-distributeddatamgr_datamgr_service-eda707086d/result.json","查看 result.json"),"查看 result.json")</x:f>
        <x:v>查看 result.json</x:v>
      </x:c>
    </x:row>
    <x:row r="40" ht="30" customHeight="1">
      <x:c r="A40" s="232" t="n">
        <x:v>27</x:v>
      </x:c>
      <x:c r="B40" s="233" t="str">
        <x:v>零候选</x:v>
      </x:c>
      <x:c r="C40" s="225" t="str">
        <x:v>testfwk_testfwk_cangjie_wrapper</x:v>
      </x:c>
      <x:c r="D40" s="225" t="str">
        <x:v>openharmony/testfwk_testfwk_cangjie_wrapper</x:v>
      </x:c>
      <x:c r="E40" s="225" t="str">
        <x:v>72cd633a42a25bca962b236079cae2935ed5dffb</x:v>
      </x:c>
      <x:c r="F40" s="225" t="str">
        <x:v>41eee3e03ffdf0f4f6222adc9445ee15a2142aefe6aeef240d58790cc8e81af1</x:v>
      </x:c>
      <x:c r="G40" s="237" t="n">
        <x:v>0</x:v>
      </x:c>
      <x:c r="H40" s="237" t="n">
        <x:v>0</x:v>
      </x:c>
      <x:c r="I40" s="237" t="n">
        <x:v>0</x:v>
      </x:c>
      <x:c r="J40" s="191" t="str">
        <x:f>IFERROR(HYPERLINK("file:///D:/openHarmonyScanner/openharmony-full-scan-20261017/projects/0313-testfwk_testfwk_cangjie_wrapper-b45a91d805/result.json","查看 result.json"),"查看 result.json")</x:f>
        <x:v>查看 result.json</x:v>
      </x:c>
    </x:row>
    <x:row r="41" ht="30" customHeight="1">
      <x:c r="A41" s="232" t="n">
        <x:v>28</x:v>
      </x:c>
      <x:c r="B41" s="233" t="str">
        <x:v>零候选</x:v>
      </x:c>
      <x:c r="C41" s="225" t="str">
        <x:v>developtools_ace_js2bundle</x:v>
      </x:c>
      <x:c r="D41" s="225" t="str">
        <x:v>openharmony/developtools_ace_js2bundle</x:v>
      </x:c>
      <x:c r="E41" s="225" t="str">
        <x:v>9da4e6b49ce9b6d7429193dd4734acab6de9feb6</x:v>
      </x:c>
      <x:c r="F41" s="225" t="str">
        <x:v>6d1c75cd6c0a55c9199849f13bc9460bff05a2b68c0a2003bc33fdea849fa555</x:v>
      </x:c>
      <x:c r="G41" s="237" t="n">
        <x:v>0</x:v>
      </x:c>
      <x:c r="H41" s="237" t="n">
        <x:v>0</x:v>
      </x:c>
      <x:c r="I41" s="237" t="n">
        <x:v>0</x:v>
      </x:c>
      <x:c r="J41" s="191" t="str">
        <x:f>IFERROR(HYPERLINK("file:///D:/openHarmonyScanner/openharmony-full-scan-20261017/projects/0116-developtools_ace_js2bundle-3dff7387d8/result.json","查看 result.json"),"查看 result.json")</x:f>
        <x:v>查看 result.json</x:v>
      </x:c>
    </x:row>
    <x:row r="42" ht="30" customHeight="1">
      <x:c r="A42" s="232" t="n">
        <x:v>29</x:v>
      </x:c>
      <x:c r="B42" s="233" t="str">
        <x:v>零候选</x:v>
      </x:c>
      <x:c r="C42" s="225" t="str">
        <x:v>ability_idl_tool</x:v>
      </x:c>
      <x:c r="D42" s="225" t="str">
        <x:v>openharmony/ability_idl_tool</x:v>
      </x:c>
      <x:c r="E42" s="225" t="str">
        <x:v>d45cc0a0cf24986b1c4f07a08dc7d6e3a3ee5c3b</x:v>
      </x:c>
      <x:c r="F42" s="225" t="str">
        <x:v>e861f310955261b6433ca16314f49e49a7ed50144eb8e4c1a9bd955e93c04662</x:v>
      </x:c>
      <x:c r="G42" s="237" t="n">
        <x:v>0</x:v>
      </x:c>
      <x:c r="H42" s="237" t="n">
        <x:v>0</x:v>
      </x:c>
      <x:c r="I42" s="237" t="n">
        <x:v>0</x:v>
      </x:c>
      <x:c r="J42" s="191" t="str">
        <x:f>IFERROR(HYPERLINK("file:///D:/openHarmonyScanner/openharmony-full-scan-20261017/projects/0008-ability_idl_tool-2d9a995f69/result.json","查看 result.json"),"查看 result.json")</x:f>
        <x:v>查看 result.json</x:v>
      </x:c>
    </x:row>
    <x:row r="43" ht="30" customHeight="1">
      <x:c r="A43" s="234" t="n">
        <x:v>30</x:v>
      </x:c>
      <x:c r="B43" s="235" t="str">
        <x:v>零候选</x:v>
      </x:c>
      <x:c r="C43" s="226" t="str">
        <x:v>applications_print_spooler</x:v>
      </x:c>
      <x:c r="D43" s="226" t="str">
        <x:v>openharmony/applications_print_spooler</x:v>
      </x:c>
      <x:c r="E43" s="226" t="str">
        <x:v>6c3221b6661632ee5fe2ab2c5690bc0ba00896c7</x:v>
      </x:c>
      <x:c r="F43" s="226" t="str">
        <x:v>3d380ebb90c15e38db7ed3dd8b127bea009d2106a37e31a934799605b4f8bb4e</x:v>
      </x:c>
      <x:c r="G43" s="238" t="n">
        <x:v>0</x:v>
      </x:c>
      <x:c r="H43" s="238" t="n">
        <x:v>0</x:v>
      </x:c>
      <x:c r="I43" s="238" t="n">
        <x:v>0</x:v>
      </x:c>
      <x:c r="J43" s="192" t="str">
        <x:f>IFERROR(HYPERLINK("file:///D:/openHarmonyScanner/openharmony-full-scan-20261017/projects/0042-applications_print_spooler-1cc4cd3fd4/result.json","查看 result.json"),"查看 result.json")</x:f>
        <x:v>查看 result.json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8eaef81dd8b4dc2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9" hidden="0" customWidth="1"/>
    <x:col min="2" max="2" width="46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PoC 索引：确认漏洞专用 PoC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confirmed=0；dedicated_pocs=0。本轮不创建伪造 PoC，也不把方法控制冒充产品漏洞证明。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 t="str">
        <x:v>建议打印范围：A1:I11；横向；适合一页宽。</x:v>
      </x:c>
      <x:c r="B3" s="6"/>
      <x:c r="C3" s="6"/>
      <x:c r="D3" s="6"/>
      <x:c r="E3" s="6"/>
      <x:c r="F3" s="6"/>
      <x:c r="G3" s="6"/>
      <x:c r="H3" s="6"/>
      <x:c r="I3" s="6"/>
    </x:row>
    <x:row r="5">
      <x:c r="A5" s="241" t="str">
        <x:v>确认漏洞</x:v>
      </x:c>
      <x:c r="B5" s="250" t="n">
        <x:v>0</x:v>
      </x:c>
      <x:c r="D5" s="12" t="str">
        <x:v>证据入口</x:v>
      </x:c>
      <x:c r="E5" s="12" t="str">
        <x:v>状态</x:v>
      </x:c>
      <x:c r="F5" s="12" t="str">
        <x:v>攻击用例</x:v>
      </x:c>
      <x:c r="G5" s="12" t="str">
        <x:v>固定对照</x:v>
      </x:c>
      <x:c r="H5" s="12" t="str">
        <x:v>安全对照</x:v>
      </x:c>
      <x:c r="I5" s="12" t="str">
        <x:v>补丁重验</x:v>
      </x:c>
    </x:row>
    <x:row r="6">
      <x:c r="A6" s="241" t="str">
        <x:v>专用 PoC</x:v>
      </x:c>
      <x:c r="B6" s="251" t="n">
        <x:v>0</x:v>
      </x:c>
      <x:c r="D6" s="255" t="str">
        <x:f>IFERROR(HYPERLINK("file:///D:/openHarmonyScanner/outputs/01a14d00-bc78-7ac2-9520-210d4b92b1ac/poc/index.json","poc/index.json"),"poc/index.json")</x:f>
        <x:v>poc/index.json</x:v>
      </x:c>
      <x:c r="E6" s="224" t="str">
        <x:v>0 条记录</x:v>
      </x:c>
      <x:c r="F6" s="224" t="str">
        <x:v>不适用</x:v>
      </x:c>
      <x:c r="G6" s="224" t="str">
        <x:v>不适用</x:v>
      </x:c>
      <x:c r="H6" s="224" t="str">
        <x:v>不适用</x:v>
      </x:c>
      <x:c r="I6" s="213" t="str">
        <x:v>不适用</x:v>
      </x:c>
    </x:row>
    <x:row r="7">
      <x:c r="A7" s="241" t="str">
        <x:v>结论</x:v>
      </x:c>
      <x:c r="B7" s="252" t="str">
        <x:v>没有候选通过完整证据门</x:v>
      </x:c>
      <x:c r="D7" s="256" t="str">
        <x:f>IFERROR(HYPERLINK("file:///D:/openHarmonyScanner/outputs/01a14d00-bc78-7ac2-9520-210d4b92b1ac/poc/README.md","poc/README.md"),"poc/README.md")</x:f>
        <x:v>poc/README.md</x:v>
      </x:c>
      <x:c r="E7" s="226" t="str">
        <x:v>已记录零 PoC</x:v>
      </x:c>
      <x:c r="F7" s="226" t="str">
        <x:v>不适用</x:v>
      </x:c>
      <x:c r="G7" s="226" t="str">
        <x:v>不适用</x:v>
      </x:c>
      <x:c r="H7" s="226" t="str">
        <x:v>不适用</x:v>
      </x:c>
      <x:c r="I7" s="217" t="str">
        <x:v>不适用</x:v>
      </x:c>
    </x:row>
    <x:row r="9">
      <x:c r="A9" s="12" t="str">
        <x:v>finding-id</x:v>
      </x:c>
      <x:c r="B9" s="12" t="str">
        <x:v>漏洞摘要</x:v>
      </x:c>
      <x:c r="C9" s="12" t="str">
        <x:v>CIA 影响</x:v>
      </x:c>
      <x:c r="D9" s="12" t="str">
        <x:v>状态</x:v>
      </x:c>
      <x:c r="E9" s="12" t="str">
        <x:v>PoC 路径</x:v>
      </x:c>
      <x:c r="F9" s="12" t="str">
        <x:v>3 次攻击重放</x:v>
      </x:c>
      <x:c r="G9" s="12" t="str">
        <x:v>固定对照</x:v>
      </x:c>
      <x:c r="H9" s="12" t="str">
        <x:v>安全对照</x:v>
      </x:c>
      <x:c r="I9" s="12" t="str">
        <x:v>补丁重验</x:v>
      </x:c>
    </x:row>
    <x:row r="10" ht="42" customHeight="1">
      <x:c r="A10" s="265" t="str">
        <x:v>无记录</x:v>
      </x:c>
      <x:c r="B10" s="266" t="str">
        <x:v>本轮没有候选通过 confirmed/reportable 完整证据门</x:v>
      </x:c>
      <x:c r="C10" s="266" t="str">
        <x:v>无</x:v>
      </x:c>
      <x:c r="D10" s="266" t="str">
        <x:v>0 confirmed</x:v>
      </x:c>
      <x:c r="E10" s="266" t="str">
        <x:v>无</x:v>
      </x:c>
      <x:c r="F10" s="266" t="str">
        <x:v>不适用</x:v>
      </x:c>
      <x:c r="G10" s="266" t="str">
        <x:v>不适用</x:v>
      </x:c>
      <x:c r="H10" s="266" t="str">
        <x:v>不适用</x:v>
      </x:c>
      <x:c r="I10" s="267" t="str">
        <x:v>不适用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aef8f38751c0475b"/>
  </x:tableParts>
</x:worksheet>
</file>